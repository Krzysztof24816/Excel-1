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zys\Desktop\Projekty Github\Moje\"/>
    </mc:Choice>
  </mc:AlternateContent>
  <xr:revisionPtr revIDLastSave="0" documentId="13_ncr:1_{B68F0153-0DEF-4346-A5EE-36073D8F063B}" xr6:coauthVersionLast="47" xr6:coauthVersionMax="47" xr10:uidLastSave="{00000000-0000-0000-0000-000000000000}"/>
  <bookViews>
    <workbookView xWindow="-120" yWindow="-120" windowWidth="29040" windowHeight="15840" xr2:uid="{D9F7E13C-B05B-4050-9EAA-8C96531F02F0}"/>
  </bookViews>
  <sheets>
    <sheet name="Arkusz1" sheetId="1" r:id="rId1"/>
    <sheet name="Arkusz chroniony" sheetId="2" r:id="rId2"/>
  </sheets>
  <definedNames>
    <definedName name="Klienci">Arkusz1!$A$1:$F$12</definedName>
    <definedName name="Kwerenda_z_Excel_Files" localSheetId="0" hidden="1">Arkusz1!$I$77:$S$92</definedName>
    <definedName name="Produkty">Arkusz1!$A$14:$E$29</definedName>
  </definedNames>
  <calcPr calcId="18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8" i="1" l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M48" i="1"/>
  <c r="M62" i="1" s="1"/>
  <c r="N52" i="1" s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47" i="1"/>
  <c r="I30" i="1" a="1"/>
  <c r="I30" i="1" s="1"/>
  <c r="B37" i="1"/>
  <c r="A37" i="1"/>
  <c r="K24" i="1"/>
  <c r="N56" i="1" l="1"/>
  <c r="N50" i="1"/>
  <c r="N57" i="1"/>
  <c r="N51" i="1"/>
  <c r="N58" i="1"/>
  <c r="N59" i="1"/>
  <c r="N53" i="1"/>
  <c r="N60" i="1"/>
  <c r="N47" i="1"/>
  <c r="N61" i="1"/>
  <c r="N54" i="1"/>
  <c r="N55" i="1"/>
  <c r="N49" i="1"/>
  <c r="N48" i="1"/>
  <c r="I36" i="1"/>
  <c r="I43" i="1"/>
  <c r="I35" i="1"/>
  <c r="I37" i="1"/>
  <c r="I42" i="1"/>
  <c r="I34" i="1"/>
  <c r="I41" i="1"/>
  <c r="I33" i="1"/>
  <c r="I44" i="1"/>
  <c r="I40" i="1"/>
  <c r="I32" i="1"/>
  <c r="I39" i="1"/>
  <c r="I31" i="1"/>
  <c r="I38" i="1"/>
  <c r="J27" i="1"/>
  <c r="J20" i="1"/>
  <c r="L3" i="1"/>
  <c r="L4" i="1"/>
  <c r="L5" i="1"/>
  <c r="L6" i="1"/>
  <c r="L7" i="1"/>
  <c r="L8" i="1"/>
  <c r="L9" i="1"/>
  <c r="L10" i="1"/>
  <c r="L11" i="1"/>
  <c r="L12" i="1"/>
  <c r="L2" i="1"/>
  <c r="D12" i="1"/>
  <c r="H12" i="1" s="1"/>
  <c r="J12" i="1" s="1"/>
  <c r="D3" i="1"/>
  <c r="H3" i="1" s="1"/>
  <c r="J3" i="1" s="1"/>
  <c r="D4" i="1"/>
  <c r="H4" i="1" s="1"/>
  <c r="J4" i="1" s="1"/>
  <c r="D5" i="1"/>
  <c r="I5" i="1" s="1"/>
  <c r="D6" i="1"/>
  <c r="I6" i="1" s="1"/>
  <c r="D7" i="1"/>
  <c r="H7" i="1" s="1"/>
  <c r="J7" i="1" s="1"/>
  <c r="D8" i="1"/>
  <c r="H8" i="1" s="1"/>
  <c r="J8" i="1" s="1"/>
  <c r="D9" i="1"/>
  <c r="I9" i="1" s="1"/>
  <c r="D10" i="1"/>
  <c r="I10" i="1" s="1"/>
  <c r="D11" i="1"/>
  <c r="I11" i="1" s="1"/>
  <c r="D2" i="1"/>
  <c r="H2" i="1" s="1"/>
  <c r="J2" i="1" s="1"/>
  <c r="H16" i="1" l="1"/>
  <c r="J16" i="1"/>
  <c r="K8" i="1"/>
  <c r="K7" i="1"/>
  <c r="K2" i="1"/>
  <c r="K12" i="1"/>
  <c r="K4" i="1"/>
  <c r="K3" i="1"/>
  <c r="H6" i="1"/>
  <c r="H5" i="1"/>
  <c r="I8" i="1"/>
  <c r="I7" i="1"/>
  <c r="H10" i="1"/>
  <c r="I4" i="1"/>
  <c r="H11" i="1"/>
  <c r="I2" i="1"/>
  <c r="H9" i="1"/>
  <c r="I3" i="1"/>
  <c r="I12" i="1"/>
  <c r="J10" i="1" l="1"/>
  <c r="K10" i="1"/>
  <c r="J5" i="1"/>
  <c r="K5" i="1"/>
  <c r="J9" i="1"/>
  <c r="K9" i="1"/>
  <c r="J6" i="1"/>
  <c r="K6" i="1"/>
  <c r="J11" i="1"/>
  <c r="K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564A3-7279-42B8-98F4-537233245982}" name="Kwerenda z Excel Files" type="1" refreshedVersion="8" background="1" saveData="1">
    <dbPr connection="DSN=Excel Files;DBQ=C:\USERS\KRZYS\Desktop\Prace 4\Excel zaawansowany.xlsx;DefaultDir=C:\USERS\KRZYS\Desktop\Prace 4;DriverId=1046;MaxBufferSize=2048;PageTimeout=5;" command="SELECT _x000d__x000a_    Kliecni.`LP#`, _x000d__x000a_    Kliecni.Imie, _x000d__x000a_    Kliecni.Nazwisko, _x000d__x000a_    Kliecni.`złączenia tekstu:`, _x000d__x000a_    Kliecni.`Data 1#Tranzakcji`, _x000d__x000a_    Kliecni.`Liczba kupionych produktów`, _x000d__x000a_    Produkty.`LP#`, _x000d__x000a_    Produkty.`LP# Klienta`, _x000d__x000a_    Produkty.`Data kupna`, _x000d__x000a_    Produkty.`Ilość towaru`, _x000d__x000a_    Produkty.`Cena za sztukę`_x000d__x000a_FROM `C:\USERS\KRZYS\Desktop\Prace 4\Excel zaawansowany.xlsx`.Klienci_x000d__x000a_JOIN `C:\USERS\KRZYS\Desktop\Prace 4\Excel zaawansowany.xlsx`.Produkty_x000d__x000a_ON Produkty.`LP# Klienta` = Kliecni.`LP#`;"/>
  </connection>
  <connection id="2" xr16:uid="{0F866884-5672-43B8-9BC1-F2C4A33FDC57}" name="Kwerenda z Excel Files1" type="1" refreshedVersion="8" background="1" saveData="1">
    <dbPr connection="DSN=Excel Files;DBQ=C:\USERS\KRZYS\Desktop\Prace 4\Excel zaawansowany.xlsx;DefaultDir=C:\USERS\KRZYS\Desktop\Prace 4;DriverId=1046;MaxBufferSize=2048;PageTimeout=5;" command="SELECT Kliecni.`LP#`, Kliecni.Imie, Kliecni.Nazwisko, Kliecni.`złączenia tekstu:`, Kliecni.`Data 1#Tranzakcji`, Kliecni.`Liczba kupionych produktów`, Produkty.`LP#`, Produkty.`LP# Klienta`, Produkty.`Data kupna`, Produkty.`Ilość towaru`, Produkty.`Cena za sztukę`_x000d__x000a_FROM `C:\USERS\KRZYS\Desktop\Prace 4\Excel zaawansowany.xlsx`.Kliecni Kliecni, `C:\USERS\KRZYS\Desktop\Prace 4\Excel zaawansowany.xlsx`.Produkty Produkty_x000d__x000a_WHERE Produkty.`LP# Klienta` = Kliecni.`LP#`"/>
  </connection>
</connections>
</file>

<file path=xl/sharedStrings.xml><?xml version="1.0" encoding="utf-8"?>
<sst xmlns="http://schemas.openxmlformats.org/spreadsheetml/2006/main" count="161" uniqueCount="92">
  <si>
    <t>Adam</t>
  </si>
  <si>
    <t>Bartek</t>
  </si>
  <si>
    <t>Celina</t>
  </si>
  <si>
    <t>Damian</t>
  </si>
  <si>
    <t>Edward</t>
  </si>
  <si>
    <t>Faustyna</t>
  </si>
  <si>
    <t>Grzegorz</t>
  </si>
  <si>
    <t>Kowalski</t>
  </si>
  <si>
    <t>Nowak</t>
  </si>
  <si>
    <t>Orlik</t>
  </si>
  <si>
    <t>Kucharski</t>
  </si>
  <si>
    <t>Zachłowski</t>
  </si>
  <si>
    <t>Kot</t>
  </si>
  <si>
    <t>Cabaj</t>
  </si>
  <si>
    <t>złączenia tekstu:</t>
  </si>
  <si>
    <t>Imie</t>
  </si>
  <si>
    <t>Nazwisko</t>
  </si>
  <si>
    <t>LP.</t>
  </si>
  <si>
    <t>Data 1.Tranzakcji</t>
  </si>
  <si>
    <t>Liczba kupionych produktów</t>
  </si>
  <si>
    <t>Data kupna</t>
  </si>
  <si>
    <t>Miesiąc 1. Tranzakcji:</t>
  </si>
  <si>
    <t>3.Litera imienia:</t>
  </si>
  <si>
    <t>Hanna</t>
  </si>
  <si>
    <t>Jęczmień</t>
  </si>
  <si>
    <t>Nowak, Faustyna</t>
  </si>
  <si>
    <t>Numer:</t>
  </si>
  <si>
    <t>Funkcje tekstowe:</t>
  </si>
  <si>
    <t>Funkcje wyszukiwania:</t>
  </si>
  <si>
    <t>Klient  o  danej 1.Dacie tranzakcji:</t>
  </si>
  <si>
    <t>Ilość towaru</t>
  </si>
  <si>
    <t>Cena za sztukę</t>
  </si>
  <si>
    <t>Dane dotyczące tranzakcji:</t>
  </si>
  <si>
    <t>Sprawdzana wartość:</t>
  </si>
  <si>
    <t>Wynik:</t>
  </si>
  <si>
    <t>LP:</t>
  </si>
  <si>
    <t>Liczba kupionych produktów na klienta:</t>
  </si>
  <si>
    <t>LP. Klienta</t>
  </si>
  <si>
    <t>Wyszukiwarka danych na podstawie LP klienta</t>
  </si>
  <si>
    <t>Z której tabeli mają pochodzić dane?</t>
  </si>
  <si>
    <t>O jaką daną chodzi?</t>
  </si>
  <si>
    <t>Funkcje bazodanowe:</t>
  </si>
  <si>
    <t>Funkcje tablicowe:</t>
  </si>
  <si>
    <t>łączna ilość sprzedanych towarów w danym mieisącu</t>
  </si>
  <si>
    <t>Miesiąc:</t>
  </si>
  <si>
    <t>całkowity przychód</t>
  </si>
  <si>
    <t>LP. Zamówienia</t>
  </si>
  <si>
    <t>Formatowanie warunkowe</t>
  </si>
  <si>
    <t>Duplikaty LP. klienta i dat kupna na żółto</t>
  </si>
  <si>
    <t>Ilości towaru powyżej średniej na zielono</t>
  </si>
  <si>
    <t>przychód</t>
  </si>
  <si>
    <t>Dodano zestaw ikon do przychodu</t>
  </si>
  <si>
    <t>Udział przychodu:</t>
  </si>
  <si>
    <t>Dodano paski danych w koluminie N</t>
  </si>
  <si>
    <t>3 najwyższe i 3 najniższe ceny za sztukę wyróżnione kolorem</t>
  </si>
  <si>
    <t>Niestandardowe formatowanie komórek</t>
  </si>
  <si>
    <t>Format "złotych"</t>
  </si>
  <si>
    <t>Format "00000"</t>
  </si>
  <si>
    <t>Format "w"</t>
  </si>
  <si>
    <t>&gt;0 na zielono, &lt;0 na czerwono</t>
  </si>
  <si>
    <t>dzień tygodnia, miesiąc dzień rok</t>
  </si>
  <si>
    <t>Godzina pełnymi slowami</t>
  </si>
  <si>
    <t>LP#</t>
  </si>
  <si>
    <t>Data 1#Tranzakcji</t>
  </si>
  <si>
    <t>LP# Klienta</t>
  </si>
  <si>
    <t>Kowalski, Adam</t>
  </si>
  <si>
    <t>Nowak, Bartek</t>
  </si>
  <si>
    <t>Kucharski, Damian</t>
  </si>
  <si>
    <t>Zachłowski, Damian</t>
  </si>
  <si>
    <t>Kowalski, Edward</t>
  </si>
  <si>
    <t>Kot, Edward</t>
  </si>
  <si>
    <t>Cabaj, Faustyna</t>
  </si>
  <si>
    <t>LP#2</t>
  </si>
  <si>
    <t>Tabela zrobiona za pomocą microsoft Query</t>
  </si>
  <si>
    <t>Power Query:</t>
  </si>
  <si>
    <t>Etykiety kolumn</t>
  </si>
  <si>
    <t>Suma końcowa</t>
  </si>
  <si>
    <t>sty</t>
  </si>
  <si>
    <t>lut</t>
  </si>
  <si>
    <t>gru</t>
  </si>
  <si>
    <t>Etykiety wierszy</t>
  </si>
  <si>
    <t>Suma z Liczba kupionych produktów</t>
  </si>
  <si>
    <t>Suma z Ilość towaru</t>
  </si>
  <si>
    <t>Produkty</t>
  </si>
  <si>
    <t>Tabele przestawne:</t>
  </si>
  <si>
    <t>Przychód:</t>
  </si>
  <si>
    <t>Suma z Cena za sztukę</t>
  </si>
  <si>
    <t>Łączny przychód</t>
  </si>
  <si>
    <t>Złączyłem obydwa tabele kodami klienta używając SQL</t>
  </si>
  <si>
    <t>Przykładowy tekst</t>
  </si>
  <si>
    <t>hasło:ABC</t>
  </si>
  <si>
    <t>Pomimo braku podanego hasła, możliwe będzie wybranie wartości z listy: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</si>
</sst>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zł&quot;"/>
    <numFmt numFmtId="165" formatCode="#,##0.00&quot; złotych&quot;"/>
    <numFmt numFmtId="166" formatCode="00000"/>
    <numFmt numFmtId="167" formatCode="\w"/>
    <numFmt numFmtId="168" formatCode="[Green]General;[Red]General"/>
    <numFmt numFmtId="169" formatCode="\1;\2;\3"/>
    <numFmt numFmtId="170" formatCode="dddd\,\ dd\ mmmm\,\ yyyy"/>
    <numFmt numFmtId="171" formatCode="&quot;Godziny:&quot;hh&quot; Minuty:&quot;mm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0" xfId="1"/>
    <xf numFmtId="14" fontId="2" fillId="2" borderId="0" xfId="1" applyNumberFormat="1"/>
    <xf numFmtId="0" fontId="2" fillId="2" borderId="0" xfId="1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pivotButton="1"/>
    <xf numFmtId="171" fontId="0" fillId="0" borderId="0" xfId="0" applyNumberFormat="1"/>
    <xf numFmtId="0" fontId="2" fillId="2" borderId="0" xfId="1" applyProtection="1">
      <protection locked="0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right"/>
    </xf>
    <xf numFmtId="170" fontId="0" fillId="0" borderId="0" xfId="0" applyNumberFormat="1" applyAlignment="1">
      <alignment horizontal="left"/>
    </xf>
  </cellXfs>
  <cellStyles count="2">
    <cellStyle name="Dobry" xfId="1" builtinId="26"/>
    <cellStyle name="Normalny" xfId="0" builtinId="0"/>
  </cellStyles>
  <dxfs count="20">
    <dxf>
      <fill>
        <patternFill>
          <bgColor theme="4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numFmt numFmtId="19" formatCode="dd/mm/yyyy"/>
    </dxf>
    <dxf>
      <numFmt numFmtId="19" formatCode="dd/mm/yyyy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9" formatCode="dd/mm/yyyy"/>
    </dxf>
    <dxf>
      <numFmt numFmtId="19" formatCode="dd/mm/yyyy"/>
    </dxf>
    <dxf>
      <numFmt numFmtId="164" formatCode="#,##0.00\ &quot;zł&quot;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64" formatCode="#,##0.00\ &quot;zł&quot;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164" formatCode="#,##0.00\ &quot;zł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zaawansowany Github.xlsx]Arkusz1!Tabela przestawna1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Arkusz1!$J$94:$J$95</c:f>
              <c:strCache>
                <c:ptCount val="1"/>
                <c:pt idx="0">
                  <c:v>sty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Arkusz1!$J$96</c:f>
              <c:numCache>
                <c:formatCode>General</c:formatCode>
                <c:ptCount val="1"/>
                <c:pt idx="0">
                  <c:v>59093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6-4609-9E24-E3414ABBCC72}"/>
            </c:ext>
          </c:extLst>
        </c:ser>
        <c:ser>
          <c:idx val="1"/>
          <c:order val="1"/>
          <c:tx>
            <c:strRef>
              <c:f>Arkusz1!$K$94:$K$95</c:f>
              <c:strCache>
                <c:ptCount val="1"/>
                <c:pt idx="0">
                  <c:v>lut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Arkusz1!$K$96</c:f>
              <c:numCache>
                <c:formatCode>General</c:formatCode>
                <c:ptCount val="1"/>
                <c:pt idx="0">
                  <c:v>31370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46-4609-9E24-E3414ABBCC72}"/>
            </c:ext>
          </c:extLst>
        </c:ser>
        <c:ser>
          <c:idx val="2"/>
          <c:order val="2"/>
          <c:tx>
            <c:strRef>
              <c:f>Arkusz1!$L$94:$L$95</c:f>
              <c:strCache>
                <c:ptCount val="1"/>
                <c:pt idx="0">
                  <c:v>gru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Arkusz1!$L$96</c:f>
              <c:numCache>
                <c:formatCode>General</c:formatCode>
                <c:ptCount val="1"/>
                <c:pt idx="0">
                  <c:v>96083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46-4609-9E24-E3414ABBCC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7512543"/>
        <c:axId val="757483743"/>
      </c:barChart>
      <c:catAx>
        <c:axId val="75751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483743"/>
        <c:crosses val="autoZero"/>
        <c:auto val="1"/>
        <c:lblAlgn val="ctr"/>
        <c:lblOffset val="100"/>
        <c:noMultiLvlLbl val="0"/>
      </c:catAx>
      <c:valAx>
        <c:axId val="7574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5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50724637681164"/>
          <c:y val="0.26996427529892097"/>
          <c:w val="0.26449300191369185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zaawansowany Github.xlsx]Arkusz1!Tabela przestawna4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Arkusz1!$J$109</c:f>
              <c:strCache>
                <c:ptCount val="1"/>
                <c:pt idx="0">
                  <c:v>Łączny przychód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Arkusz1!$J$110:$J$113</c:f>
              <c:numCache>
                <c:formatCode>#\ ##0.00\ "zł"</c:formatCode>
                <c:ptCount val="3"/>
                <c:pt idx="0">
                  <c:v>85000</c:v>
                </c:pt>
                <c:pt idx="1">
                  <c:v>5600</c:v>
                </c:pt>
                <c:pt idx="2">
                  <c:v>155100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6-4ACB-89DB-D2A8BD49D088}"/>
            </c:ext>
          </c:extLst>
        </c:ser>
        <c:ser>
          <c:idx val="1"/>
          <c:order val="1"/>
          <c:tx>
            <c:strRef>
              <c:f>Arkusz1!$K$109</c:f>
              <c:strCache>
                <c:ptCount val="1"/>
                <c:pt idx="0">
                  <c:v>Suma z Cena za sztukę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Arkusz1!$K$110:$K$113</c:f>
              <c:numCache>
                <c:formatCode>General</c:formatCode>
                <c:ptCount val="3"/>
                <c:pt idx="0">
                  <c:v>280</c:v>
                </c:pt>
                <c:pt idx="1">
                  <c:v>80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86-4ACB-89DB-D2A8BD49D088}"/>
            </c:ext>
          </c:extLst>
        </c:ser>
        <c:ser>
          <c:idx val="2"/>
          <c:order val="2"/>
          <c:tx>
            <c:strRef>
              <c:f>Arkusz1!$L$109</c:f>
              <c:strCache>
                <c:ptCount val="1"/>
                <c:pt idx="0">
                  <c:v>Suma z Ilość towaru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Arkusz1!$L$110:$L$113</c:f>
              <c:numCache>
                <c:formatCode>General</c:formatCode>
                <c:ptCount val="3"/>
                <c:pt idx="0">
                  <c:v>1240</c:v>
                </c:pt>
                <c:pt idx="1">
                  <c:v>120</c:v>
                </c:pt>
                <c:pt idx="2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86-4ACB-89DB-D2A8BD49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466671"/>
        <c:axId val="215464751"/>
      </c:barChart>
      <c:catAx>
        <c:axId val="2154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4751"/>
        <c:crosses val="autoZero"/>
        <c:auto val="1"/>
        <c:lblAlgn val="ctr"/>
        <c:lblOffset val="100"/>
        <c:noMultiLvlLbl val="0"/>
      </c:catAx>
      <c:valAx>
        <c:axId val="2154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900113</xdr:colOff>
      <xdr:row>92</xdr:row>
      <xdr:rowOff>173831</xdr:rowOff>
    </xdr:from>
    <xdr:to>
      <xdr:col>15</xdr:col>
      <xdr:colOff>1633538</xdr:colOff>
      <xdr:row>107</xdr:row>
      <xdr:rowOff>59531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1D4197-2DCC-5297-C051-482A14D5A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465666</xdr:colOff>
      <xdr:row>108</xdr:row>
      <xdr:rowOff>35984</xdr:rowOff>
    </xdr:from>
    <xdr:to>
      <xdr:col>16</xdr:col>
      <xdr:colOff>518583</xdr:colOff>
      <xdr:row>122</xdr:row>
      <xdr:rowOff>112184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BE8083C-9B50-53B6-5092-B37C4A950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02826620369" backgroundQuery="1" createdVersion="8" refreshedVersion="8" minRefreshableVersion="3" recordCount="15" xr:uid="{803AD09A-752E-418E-8883-35B2F724A460}">
  <cacheSource type="external" connectionId="2"/>
  <cacheFields count="14">
    <cacheField name="LP#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Imie" numFmtId="0" sqlType="12">
      <sharedItems count="5">
        <s v="Adam"/>
        <s v="Bartek"/>
        <s v="Damian"/>
        <s v="Edward"/>
        <s v="Faustyna"/>
      </sharedItems>
    </cacheField>
    <cacheField name="Nazwisko" numFmtId="0" sqlType="12">
      <sharedItems count="6">
        <s v="Kowalski"/>
        <s v="Nowak"/>
        <s v="Kucharski"/>
        <s v="Zachłowski"/>
        <s v="Kot"/>
        <s v="Cabaj"/>
      </sharedItems>
    </cacheField>
    <cacheField name="złączenia tekstu:" numFmtId="0" sqlType="12">
      <sharedItems count="8">
        <s v="Kowalski, Adam"/>
        <s v="Nowak, Bartek"/>
        <s v="Kucharski, Damian"/>
        <s v="Zachłowski, Damian"/>
        <s v="Kowalski, Edward"/>
        <s v="Kot, Edward"/>
        <s v="Cabaj, Faustyna"/>
        <s v="Nowak, Faustyna"/>
      </sharedItems>
    </cacheField>
    <cacheField name="Data 1#Tranzakcji" numFmtId="0" sqlType="11">
      <sharedItems containsSemiMixedTypes="0" containsNonDate="0" containsDate="1" containsString="0" minDate="2000-01-01T00:00:00" maxDate="2014-06-25T14:22:42" count="8">
        <d v="2000-01-01T00:00:00"/>
        <d v="2002-09-27T00:00:00"/>
        <d v="2006-03-09T11:31:12"/>
        <d v="2007-11-17T20:56:32"/>
        <d v="2009-07-22T00:25:37"/>
        <d v="2011-03-19T23:29:51"/>
        <d v="2012-11-08T19:39:12"/>
        <d v="2014-06-25T14:22:42"/>
      </sharedItems>
    </cacheField>
    <cacheField name="Liczba kupionych produktów" numFmtId="0" sqlType="8">
      <sharedItems containsSemiMixedTypes="0" containsString="0" containsNumber="1" containsInteger="1" minValue="1000" maxValue="17089" count="8">
        <n v="1000"/>
        <n v="8300"/>
        <n v="10742"/>
        <n v="11875"/>
        <n v="13023"/>
        <n v="14281"/>
        <n v="15631"/>
        <n v="17089"/>
      </sharedItems>
    </cacheField>
    <cacheField name="LP#2" numFmtId="0" sqlType="8">
      <sharedItems containsSemiMixedTypes="0" containsString="0" containsNumber="1" containsInteger="1" minValue="1" maxValue="15" count="15">
        <n v="15"/>
        <n v="14"/>
        <n v="13"/>
        <n v="7"/>
        <n v="3"/>
        <n v="11"/>
        <n v="12"/>
        <n v="10"/>
        <n v="9"/>
        <n v="8"/>
        <n v="2"/>
        <n v="5"/>
        <n v="4"/>
        <n v="6"/>
        <n v="1"/>
      </sharedItems>
    </cacheField>
    <cacheField name="LP# Klienta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Data kupna" numFmtId="0" sqlType="11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3"/>
    </cacheField>
    <cacheField name="Ilość towaru" numFmtId="0" sqlType="8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 sqlType="2">
      <sharedItems containsSemiMixedTypes="0" containsString="0" containsNumber="1" containsInteger="1" minValue="20" maxValue="110" count="8">
        <n v="110"/>
        <n v="100"/>
        <n v="90"/>
        <n v="20"/>
        <n v="80"/>
        <n v="30"/>
        <n v="70"/>
        <n v="5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21087384262" createdVersion="8" refreshedVersion="8" minRefreshableVersion="3" recordCount="15" xr:uid="{443A718E-76B6-432D-A772-8DB2744651E7}">
  <cacheSource type="worksheet">
    <worksheetSource name="Tabela_Kwerenda_z_Excel_Files"/>
  </cacheSource>
  <cacheFields count="15">
    <cacheField name="LP#" numFmtId="0">
      <sharedItems containsSemiMixedTypes="0" containsString="0" containsNumber="1" containsInteger="1" minValue="1" maxValue="9"/>
    </cacheField>
    <cacheField name="Imie" numFmtId="0">
      <sharedItems/>
    </cacheField>
    <cacheField name="Nazwisko" numFmtId="0">
      <sharedItems/>
    </cacheField>
    <cacheField name="złączenia tekstu:" numFmtId="0">
      <sharedItems/>
    </cacheField>
    <cacheField name="Data 1#Tranzakcji" numFmtId="22">
      <sharedItems containsSemiMixedTypes="0" containsNonDate="0" containsDate="1" containsString="0" minDate="2000-01-01T00:00:00" maxDate="2014-06-25T14:22:42"/>
    </cacheField>
    <cacheField name="Liczba kupionych produktów" numFmtId="0">
      <sharedItems containsSemiMixedTypes="0" containsString="0" containsNumber="1" containsInteger="1" minValue="1000" maxValue="17089"/>
    </cacheField>
    <cacheField name="LP#2" numFmtId="0">
      <sharedItems containsSemiMixedTypes="0" containsString="0" containsNumber="1" containsInteger="1" minValue="1" maxValue="15"/>
    </cacheField>
    <cacheField name="LP# Klienta" numFmtId="0">
      <sharedItems containsSemiMixedTypes="0" containsString="0" containsNumber="1" containsInteger="1" minValue="1" maxValue="9"/>
    </cacheField>
    <cacheField name="Data kupna" numFmtId="22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4"/>
    </cacheField>
    <cacheField name="Ilość towaru" numFmtId="0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>
      <sharedItems containsSemiMixedTypes="0" containsString="0" containsNumber="1" containsInteger="1" minValue="20" maxValue="110"/>
    </cacheField>
    <cacheField name="Przychód:" numFmtId="0">
      <sharedItems containsSemiMixedTypes="0" containsString="0" containsNumber="1" containsInteger="1" minValue="600" maxValue="45000" count="14">
        <n v="25300"/>
        <n v="43000"/>
        <n v="7000"/>
        <n v="42300"/>
        <n v="45000"/>
        <n v="600"/>
        <n v="9600"/>
        <n v="2700"/>
        <n v="18000"/>
        <n v="6600"/>
        <n v="4900"/>
        <n v="5600"/>
        <n v="29500"/>
        <n v="500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 pivotCacheId="1553449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</r>
  <r>
    <x v="1"/>
    <x v="1"/>
    <x v="1"/>
    <x v="1"/>
    <x v="1"/>
    <x v="1"/>
    <x v="2"/>
    <x v="1"/>
    <x v="1"/>
    <x v="2"/>
    <x v="1"/>
  </r>
  <r>
    <x v="2"/>
    <x v="2"/>
    <x v="2"/>
    <x v="2"/>
    <x v="2"/>
    <x v="2"/>
    <x v="3"/>
    <x v="2"/>
    <x v="2"/>
    <x v="3"/>
    <x v="2"/>
  </r>
  <r>
    <x v="2"/>
    <x v="2"/>
    <x v="2"/>
    <x v="2"/>
    <x v="2"/>
    <x v="2"/>
    <x v="4"/>
    <x v="2"/>
    <x v="3"/>
    <x v="4"/>
    <x v="2"/>
  </r>
  <r>
    <x v="3"/>
    <x v="2"/>
    <x v="3"/>
    <x v="3"/>
    <x v="3"/>
    <x v="3"/>
    <x v="5"/>
    <x v="3"/>
    <x v="4"/>
    <x v="5"/>
    <x v="3"/>
  </r>
  <r>
    <x v="4"/>
    <x v="3"/>
    <x v="0"/>
    <x v="4"/>
    <x v="4"/>
    <x v="4"/>
    <x v="6"/>
    <x v="4"/>
    <x v="5"/>
    <x v="6"/>
    <x v="4"/>
  </r>
  <r>
    <x v="5"/>
    <x v="3"/>
    <x v="4"/>
    <x v="5"/>
    <x v="5"/>
    <x v="5"/>
    <x v="7"/>
    <x v="5"/>
    <x v="4"/>
    <x v="7"/>
    <x v="5"/>
  </r>
  <r>
    <x v="5"/>
    <x v="3"/>
    <x v="4"/>
    <x v="5"/>
    <x v="5"/>
    <x v="5"/>
    <x v="8"/>
    <x v="5"/>
    <x v="6"/>
    <x v="8"/>
    <x v="5"/>
  </r>
  <r>
    <x v="5"/>
    <x v="3"/>
    <x v="4"/>
    <x v="5"/>
    <x v="5"/>
    <x v="5"/>
    <x v="9"/>
    <x v="5"/>
    <x v="7"/>
    <x v="9"/>
    <x v="5"/>
  </r>
  <r>
    <x v="5"/>
    <x v="3"/>
    <x v="4"/>
    <x v="5"/>
    <x v="5"/>
    <x v="5"/>
    <x v="10"/>
    <x v="5"/>
    <x v="8"/>
    <x v="10"/>
    <x v="5"/>
  </r>
  <r>
    <x v="6"/>
    <x v="4"/>
    <x v="5"/>
    <x v="6"/>
    <x v="6"/>
    <x v="6"/>
    <x v="11"/>
    <x v="6"/>
    <x v="9"/>
    <x v="2"/>
    <x v="6"/>
  </r>
  <r>
    <x v="6"/>
    <x v="4"/>
    <x v="5"/>
    <x v="6"/>
    <x v="6"/>
    <x v="6"/>
    <x v="12"/>
    <x v="6"/>
    <x v="10"/>
    <x v="11"/>
    <x v="6"/>
  </r>
  <r>
    <x v="7"/>
    <x v="4"/>
    <x v="1"/>
    <x v="7"/>
    <x v="7"/>
    <x v="7"/>
    <x v="13"/>
    <x v="7"/>
    <x v="11"/>
    <x v="12"/>
    <x v="7"/>
  </r>
  <r>
    <x v="7"/>
    <x v="4"/>
    <x v="1"/>
    <x v="7"/>
    <x v="7"/>
    <x v="7"/>
    <x v="14"/>
    <x v="7"/>
    <x v="12"/>
    <x v="13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Adam"/>
    <s v="Kowalski"/>
    <s v="Kowalski, Adam"/>
    <d v="2000-01-01T00:00:00"/>
    <n v="1000"/>
    <n v="15"/>
    <n v="1"/>
    <x v="0"/>
    <x v="0"/>
    <n v="110"/>
    <x v="0"/>
  </r>
  <r>
    <n v="2"/>
    <s v="Bartek"/>
    <s v="Nowak"/>
    <s v="Nowak, Bartek"/>
    <d v="2002-09-27T00:00:00"/>
    <n v="8300"/>
    <n v="14"/>
    <n v="2"/>
    <x v="0"/>
    <x v="1"/>
    <n v="100"/>
    <x v="1"/>
  </r>
  <r>
    <n v="2"/>
    <s v="Bartek"/>
    <s v="Nowak"/>
    <s v="Nowak, Bartek"/>
    <d v="2002-09-27T00:00:00"/>
    <n v="8300"/>
    <n v="13"/>
    <n v="2"/>
    <x v="1"/>
    <x v="2"/>
    <n v="100"/>
    <x v="2"/>
  </r>
  <r>
    <n v="4"/>
    <s v="Damian"/>
    <s v="Kucharski"/>
    <s v="Kucharski, Damian"/>
    <d v="2006-03-09T11:31:12"/>
    <n v="10742"/>
    <n v="7"/>
    <n v="4"/>
    <x v="2"/>
    <x v="3"/>
    <n v="90"/>
    <x v="3"/>
  </r>
  <r>
    <n v="4"/>
    <s v="Damian"/>
    <s v="Kucharski"/>
    <s v="Kucharski, Damian"/>
    <d v="2006-03-09T11:31:12"/>
    <n v="10742"/>
    <n v="3"/>
    <n v="4"/>
    <x v="3"/>
    <x v="4"/>
    <n v="90"/>
    <x v="4"/>
  </r>
  <r>
    <n v="5"/>
    <s v="Damian"/>
    <s v="Zachłowski"/>
    <s v="Zachłowski, Damian"/>
    <d v="2007-11-17T20:56:32"/>
    <n v="11875"/>
    <n v="11"/>
    <n v="5"/>
    <x v="4"/>
    <x v="5"/>
    <n v="20"/>
    <x v="5"/>
  </r>
  <r>
    <n v="6"/>
    <s v="Edward"/>
    <s v="Kowalski"/>
    <s v="Kowalski, Edward"/>
    <d v="2009-07-22T00:25:37"/>
    <n v="13023"/>
    <n v="12"/>
    <n v="6"/>
    <x v="5"/>
    <x v="6"/>
    <n v="80"/>
    <x v="6"/>
  </r>
  <r>
    <n v="7"/>
    <s v="Edward"/>
    <s v="Kot"/>
    <s v="Kot, Edward"/>
    <d v="2011-03-19T23:29:51"/>
    <n v="14281"/>
    <n v="10"/>
    <n v="7"/>
    <x v="4"/>
    <x v="7"/>
    <n v="30"/>
    <x v="7"/>
  </r>
  <r>
    <n v="7"/>
    <s v="Edward"/>
    <s v="Kot"/>
    <s v="Kot, Edward"/>
    <d v="2011-03-19T23:29:51"/>
    <n v="14281"/>
    <n v="9"/>
    <n v="7"/>
    <x v="6"/>
    <x v="8"/>
    <n v="30"/>
    <x v="8"/>
  </r>
  <r>
    <n v="7"/>
    <s v="Edward"/>
    <s v="Kot"/>
    <s v="Kot, Edward"/>
    <d v="2011-03-19T23:29:51"/>
    <n v="14281"/>
    <n v="8"/>
    <n v="7"/>
    <x v="7"/>
    <x v="9"/>
    <n v="30"/>
    <x v="9"/>
  </r>
  <r>
    <n v="7"/>
    <s v="Edward"/>
    <s v="Kot"/>
    <s v="Kot, Edward"/>
    <d v="2011-03-19T23:29:51"/>
    <n v="14281"/>
    <n v="2"/>
    <n v="7"/>
    <x v="8"/>
    <x v="10"/>
    <n v="30"/>
    <x v="5"/>
  </r>
  <r>
    <n v="8"/>
    <s v="Faustyna"/>
    <s v="Cabaj"/>
    <s v="Cabaj, Faustyna"/>
    <d v="2012-11-08T19:39:12"/>
    <n v="15631"/>
    <n v="5"/>
    <n v="8"/>
    <x v="9"/>
    <x v="2"/>
    <n v="70"/>
    <x v="10"/>
  </r>
  <r>
    <n v="8"/>
    <s v="Faustyna"/>
    <s v="Cabaj"/>
    <s v="Cabaj, Faustyna"/>
    <d v="2012-11-08T19:39:12"/>
    <n v="15631"/>
    <n v="4"/>
    <n v="8"/>
    <x v="10"/>
    <x v="11"/>
    <n v="70"/>
    <x v="11"/>
  </r>
  <r>
    <n v="9"/>
    <s v="Faustyna"/>
    <s v="Nowak"/>
    <s v="Nowak, Faustyna"/>
    <d v="2014-06-25T14:22:42"/>
    <n v="17089"/>
    <n v="6"/>
    <n v="9"/>
    <x v="11"/>
    <x v="12"/>
    <n v="50"/>
    <x v="12"/>
  </r>
  <r>
    <n v="9"/>
    <s v="Faustyna"/>
    <s v="Nowak"/>
    <s v="Nowak, Faustyna"/>
    <d v="2014-06-25T14:22:42"/>
    <n v="17089"/>
    <n v="1"/>
    <n v="9"/>
    <x v="12"/>
    <x v="13"/>
    <n v="5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E80B5-0134-44B5-971B-54B6CDB8D66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fieldListSortAscending="1">
  <location ref="I94:M96" firstHeaderRow="1" firstDataRow="2" firstDataCol="1"/>
  <pivotFields count="14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showAll="0"/>
    <pivotField showAll="0"/>
    <pivotField axis="axisCol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1">
    <field x="11"/>
  </colFields>
  <colItems count="4">
    <i>
      <x/>
    </i>
    <i>
      <x v="1"/>
    </i>
    <i>
      <x v="11"/>
    </i>
    <i t="grand">
      <x/>
    </i>
  </colItems>
  <dataFields count="1">
    <dataField name="Suma z Liczba kupionych produktów" fld="5" baseField="0" baseItem="0"/>
  </dataFields>
  <chartFormats count="6">
    <chartFormat chart="0" format="0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1" count="1" selected="0">
            <x v="1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C3765-0A56-49BD-BF49-EF4275E01CA5}" name="Tabela przestawna4" cacheId="1" dataPosition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3">
  <location ref="I109:L113" firstHeaderRow="0" firstDataRow="1" firstDataCol="1"/>
  <pivotFields count="15">
    <pivotField showAll="0"/>
    <pivotField showAll="0"/>
    <pivotField showAll="0"/>
    <pivotField showAll="0"/>
    <pivotField numFmtId="22" showAll="0"/>
    <pivotField showAll="0"/>
    <pivotField showAll="0"/>
    <pivotField showAll="0"/>
    <pivotField numFmtId="22"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dataField="1" showAll="0">
      <items count="15">
        <item x="10"/>
        <item x="5"/>
        <item x="2"/>
        <item x="11"/>
        <item x="7"/>
        <item x="13"/>
        <item x="6"/>
        <item x="9"/>
        <item x="0"/>
        <item x="1"/>
        <item x="3"/>
        <item x="4"/>
        <item x="12"/>
        <item x="8"/>
        <item t="default"/>
      </items>
    </pivotField>
    <pivotField dataField="1" showAll="0"/>
    <pivotField dataField="1" showAll="0">
      <items count="15">
        <item x="5"/>
        <item x="7"/>
        <item x="10"/>
        <item x="13"/>
        <item x="11"/>
        <item x="9"/>
        <item x="2"/>
        <item x="6"/>
        <item x="8"/>
        <item x="0"/>
        <item x="12"/>
        <item x="3"/>
        <item x="1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4">
    <i>
      <x v="1"/>
    </i>
    <i>
      <x v="2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Łączny przychód" fld="11" baseField="12" baseItem="1"/>
    <dataField name="Suma z Cena za sztukę" fld="10" baseField="0" baseItem="0"/>
    <dataField name="Suma z Ilość towaru" fld="9" baseField="0" baseItem="0"/>
  </dataFields>
  <formats count="1">
    <format dxfId="19">
      <pivotArea collapsedLevelsAreSubtotals="1" fieldPosition="0">
        <references count="1">
          <reference field="4294967294" count="1">
            <x v="0"/>
          </reference>
        </references>
      </pivotArea>
    </format>
  </formats>
  <chartFormats count="3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werenda z Excel Files" connectionId="1" xr16:uid="{42172C01-EA53-49FE-AE0C-25D5A97F8AA6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LP#" tableColumnId="1"/>
      <queryTableField id="2" name="Imie" tableColumnId="2"/>
      <queryTableField id="3" name="Nazwisko" tableColumnId="3"/>
      <queryTableField id="4" name="złączenia tekstu:" tableColumnId="4"/>
      <queryTableField id="5" name="Data 1#Tranzakcji" tableColumnId="5"/>
      <queryTableField id="6" name="Liczba kupionych produktów" tableColumnId="6"/>
      <queryTableField id="7" name="LP#" tableColumnId="7"/>
      <queryTableField id="8" name="LP# Klienta" tableColumnId="8"/>
      <queryTableField id="9" name="Data kupna" tableColumnId="9"/>
      <queryTableField id="10" name="Ilość towaru" tableColumnId="10"/>
      <queryTableField id="11" name="Cena za sztukę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F5786-10A8-43CB-9319-0A066DAE75A6}" name="Tabela_Kwerenda_z_Excel_Files" displayName="Tabela_Kwerenda_z_Excel_Files" ref="I77:T92" tableType="queryTable" totalsRowShown="0">
  <autoFilter ref="I77:T92" xr:uid="{308F5786-10A8-43CB-9319-0A066DAE75A6}"/>
  <tableColumns count="12">
    <tableColumn id="1" xr3:uid="{5A76E21A-1DB8-4E40-90C9-2E79EB68C4E0}" uniqueName="1" name="LP#" queryTableFieldId="1"/>
    <tableColumn id="2" xr3:uid="{8AEBB2AD-8FB1-4FB6-9D2A-82EA8C512F6E}" uniqueName="2" name="Imie" queryTableFieldId="2"/>
    <tableColumn id="3" xr3:uid="{8A2424D9-AA32-4AFE-9076-04BC4AE5F5FC}" uniqueName="3" name="Nazwisko" queryTableFieldId="3"/>
    <tableColumn id="4" xr3:uid="{F7CA90D7-71AA-48FE-A07E-0878D6169E11}" uniqueName="4" name="złączenia tekstu:" queryTableFieldId="4"/>
    <tableColumn id="5" xr3:uid="{0FC01DF2-27CD-4E62-9E56-25EC5C5C4A6D}" uniqueName="5" name="Data 1#Tranzakcji" queryTableFieldId="5" dataDxfId="18"/>
    <tableColumn id="6" xr3:uid="{EF10BA31-E58D-4CB2-8247-FAEF38C7E6AC}" uniqueName="6" name="Liczba kupionych produktów" queryTableFieldId="6"/>
    <tableColumn id="7" xr3:uid="{84B7EBDE-DE81-4E7B-9411-454CA8C61378}" uniqueName="7" name="LP#2" queryTableFieldId="7"/>
    <tableColumn id="8" xr3:uid="{FBE2A0F2-E2C4-479A-8DD9-779A5FB123CC}" uniqueName="8" name="LP# Klienta" queryTableFieldId="8"/>
    <tableColumn id="9" xr3:uid="{F0709232-877C-4E2D-92A2-66040C8805A4}" uniqueName="9" name="Data kupna" queryTableFieldId="9" dataDxfId="17"/>
    <tableColumn id="10" xr3:uid="{DCC626F0-14E0-472C-BD5F-66D36A7DE7AD}" uniqueName="10" name="Ilość towaru" queryTableFieldId="10"/>
    <tableColumn id="11" xr3:uid="{C6E96D3D-DDBD-476E-A24F-1245034E51AE}" uniqueName="11" name="Cena za sztukę" queryTableFieldId="11"/>
    <tableColumn id="12" xr3:uid="{6BDA3FAB-72F8-4AC8-B419-6A06183537DF}" uniqueName="12" name="Przychód:" queryTableFieldId="12" dataDxfId="16">
      <calculatedColumnFormula>S78*R78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379E76-A0D2-4A04-A963-176EC4AEFBA5}" name="Tabela2" displayName="Tabela2" ref="A1:F12" totalsRowShown="0">
  <autoFilter ref="A1:F12" xr:uid="{78379E76-A0D2-4A04-A963-176EC4AEFBA5}"/>
  <tableColumns count="6">
    <tableColumn id="1" xr3:uid="{DD9C76DC-9B92-4F90-92F0-11C25F3506E3}" name="LP."/>
    <tableColumn id="2" xr3:uid="{4A38ACE9-562A-4EF4-AB5C-0BA13E0F87F8}" name="Imie"/>
    <tableColumn id="3" xr3:uid="{1D5AF8B5-43AF-4204-8E11-1A99D6094512}" name="Nazwisko"/>
    <tableColumn id="4" xr3:uid="{B3F05460-76EF-40FD-9A30-939927E88D34}" name="złączenia tekstu:">
      <calculatedColumnFormula>C2&amp;", "&amp;B2</calculatedColumnFormula>
    </tableColumn>
    <tableColumn id="5" xr3:uid="{E1BBEB48-A078-4AF7-AE24-6BC724173865}" name="Data 1.Tranzakcji" dataDxfId="15"/>
    <tableColumn id="6" xr3:uid="{BB89F98E-D90E-483C-B9AD-24B6D527EF7E}" name="Liczba kupionych produktów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1835A-64BF-4220-943A-A63D438D1715}" name="Tabela3" displayName="Tabela3" ref="A14:E29" totalsRowShown="0">
  <autoFilter ref="A14:E29" xr:uid="{1CD1835A-64BF-4220-943A-A63D438D1715}"/>
  <tableColumns count="5">
    <tableColumn id="1" xr3:uid="{D0E95BC0-9E32-46DE-BC2B-9F6E9E5CAAAD}" name="LP."/>
    <tableColumn id="2" xr3:uid="{15987A90-7D6B-4E51-AA5A-4DD544697FE7}" name="LP. Klienta"/>
    <tableColumn id="3" xr3:uid="{71BC94C7-4A75-4D3D-BA3B-EA4043B996DF}" name="Data kupna" dataDxfId="13"/>
    <tableColumn id="4" xr3:uid="{CAC9C45B-5657-428E-969C-2254966F305F}" name="Ilość towaru"/>
    <tableColumn id="5" xr3:uid="{CBE4A0B0-17B1-47FE-AD7E-FD575F001DCF}" name="Cena za sztukę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6D9D-B4FC-46EE-888B-C9BE3CBEE293}">
  <dimension ref="A1:T113"/>
  <sheetViews>
    <sheetView tabSelected="1" topLeftCell="B1" zoomScale="80" zoomScaleNormal="80" workbookViewId="0">
      <selection activeCell="G8" sqref="G8"/>
    </sheetView>
  </sheetViews>
  <sheetFormatPr defaultRowHeight="15" x14ac:dyDescent="0.25"/>
  <cols>
    <col min="1" max="1" width="13.140625" customWidth="1"/>
    <col min="2" max="2" width="14.7109375" customWidth="1"/>
    <col min="3" max="3" width="13.42578125" customWidth="1"/>
    <col min="4" max="4" width="18.140625" customWidth="1"/>
    <col min="5" max="5" width="18.5703125" customWidth="1"/>
    <col min="6" max="6" width="28" customWidth="1"/>
    <col min="7" max="7" width="43.5703125" customWidth="1"/>
    <col min="8" max="8" width="20" customWidth="1"/>
    <col min="9" max="9" width="21.85546875" customWidth="1"/>
    <col min="10" max="10" width="15.28515625" bestFit="1" customWidth="1"/>
    <col min="11" max="11" width="27.42578125" customWidth="1"/>
    <col min="12" max="12" width="18.5703125" bestFit="1" customWidth="1"/>
    <col min="13" max="13" width="22.5703125" customWidth="1"/>
    <col min="14" max="14" width="18.5703125" bestFit="1" customWidth="1"/>
    <col min="15" max="15" width="23.42578125" bestFit="1" customWidth="1"/>
    <col min="16" max="16" width="25.7109375" bestFit="1" customWidth="1"/>
    <col min="17" max="17" width="20.28515625" customWidth="1"/>
    <col min="18" max="22" width="15.28515625" bestFit="1" customWidth="1"/>
    <col min="23" max="23" width="14.28515625" bestFit="1" customWidth="1"/>
  </cols>
  <sheetData>
    <row r="1" spans="1:12" x14ac:dyDescent="0.25">
      <c r="A1" t="s">
        <v>17</v>
      </c>
      <c r="B1" t="s">
        <v>15</v>
      </c>
      <c r="C1" t="s">
        <v>16</v>
      </c>
      <c r="D1" t="s">
        <v>14</v>
      </c>
      <c r="E1" t="s">
        <v>18</v>
      </c>
      <c r="F1" t="s">
        <v>19</v>
      </c>
      <c r="G1" s="3" t="s">
        <v>27</v>
      </c>
      <c r="H1" t="s">
        <v>15</v>
      </c>
      <c r="I1" t="s">
        <v>16</v>
      </c>
      <c r="J1" t="s">
        <v>22</v>
      </c>
      <c r="K1" t="s">
        <v>26</v>
      </c>
      <c r="L1" t="s">
        <v>21</v>
      </c>
    </row>
    <row r="2" spans="1:12" x14ac:dyDescent="0.25">
      <c r="A2">
        <v>1</v>
      </c>
      <c r="B2" t="s">
        <v>0</v>
      </c>
      <c r="C2" t="s">
        <v>7</v>
      </c>
      <c r="D2" t="str">
        <f t="shared" ref="D2:D12" si="0">C2&amp;", "&amp;B2</f>
        <v>Kowalski, Adam</v>
      </c>
      <c r="E2" s="1">
        <v>36526</v>
      </c>
      <c r="F2" s="2">
        <v>1000</v>
      </c>
      <c r="H2" t="str">
        <f t="shared" ref="H2:H12" si="1">LEFT(D2,FIND(",",D2,1)-1)</f>
        <v>Kowalski</v>
      </c>
      <c r="I2" t="str">
        <f t="shared" ref="I2:I12" si="2">RIGHT(D2,LEN(D2)-FIND(" ",D2,1))</f>
        <v>Adam</v>
      </c>
      <c r="J2" t="str">
        <f>MID(H2,3,1)</f>
        <v>w</v>
      </c>
      <c r="K2" t="str">
        <f>UPPER(LEFT(H2,3))&amp;TEXT(ROW(H2)-1,"000")</f>
        <v>KOW001</v>
      </c>
      <c r="L2">
        <f>MONTH(E2)</f>
        <v>1</v>
      </c>
    </row>
    <row r="3" spans="1:12" x14ac:dyDescent="0.25">
      <c r="A3">
        <v>2</v>
      </c>
      <c r="B3" t="s">
        <v>1</v>
      </c>
      <c r="C3" t="s">
        <v>8</v>
      </c>
      <c r="D3" t="str">
        <f t="shared" si="0"/>
        <v>Nowak, Bartek</v>
      </c>
      <c r="E3" s="1">
        <v>37526</v>
      </c>
      <c r="F3" s="2">
        <v>8300</v>
      </c>
      <c r="H3" t="str">
        <f t="shared" si="1"/>
        <v>Nowak</v>
      </c>
      <c r="I3" t="str">
        <f t="shared" si="2"/>
        <v>Bartek</v>
      </c>
      <c r="J3" t="str">
        <f t="shared" ref="J3:J12" si="3">MID(H3,3,1)</f>
        <v>w</v>
      </c>
      <c r="K3" t="str">
        <f t="shared" ref="K3:K12" si="4">UPPER(LEFT(H3,3))&amp;TEXT(ROW(H3)-1,"000")</f>
        <v>NOW002</v>
      </c>
      <c r="L3">
        <f t="shared" ref="L3:L12" si="5">MONTH(E3)</f>
        <v>9</v>
      </c>
    </row>
    <row r="4" spans="1:12" x14ac:dyDescent="0.25">
      <c r="A4">
        <v>3</v>
      </c>
      <c r="B4" t="s">
        <v>2</v>
      </c>
      <c r="C4" t="s">
        <v>9</v>
      </c>
      <c r="D4" t="str">
        <f t="shared" si="0"/>
        <v>Orlik, Celina</v>
      </c>
      <c r="E4" s="1">
        <v>38160.74</v>
      </c>
      <c r="F4" s="2">
        <v>9940</v>
      </c>
      <c r="H4" t="str">
        <f t="shared" si="1"/>
        <v>Orlik</v>
      </c>
      <c r="I4" t="str">
        <f t="shared" si="2"/>
        <v>Celina</v>
      </c>
      <c r="J4" t="str">
        <f t="shared" si="3"/>
        <v>l</v>
      </c>
      <c r="K4" t="str">
        <f t="shared" si="4"/>
        <v>ORL003</v>
      </c>
      <c r="L4">
        <f t="shared" si="5"/>
        <v>6</v>
      </c>
    </row>
    <row r="5" spans="1:12" x14ac:dyDescent="0.25">
      <c r="A5">
        <v>4</v>
      </c>
      <c r="B5" t="s">
        <v>3</v>
      </c>
      <c r="C5" t="s">
        <v>10</v>
      </c>
      <c r="D5" t="str">
        <f t="shared" si="0"/>
        <v>Kucharski, Damian</v>
      </c>
      <c r="E5" s="1">
        <v>38785.479999999996</v>
      </c>
      <c r="F5" s="2">
        <v>10742</v>
      </c>
      <c r="H5" t="str">
        <f t="shared" si="1"/>
        <v>Kucharski</v>
      </c>
      <c r="I5" t="str">
        <f t="shared" si="2"/>
        <v>Damian</v>
      </c>
      <c r="J5" t="str">
        <f t="shared" si="3"/>
        <v>c</v>
      </c>
      <c r="K5" t="str">
        <f t="shared" si="4"/>
        <v>KUC004</v>
      </c>
      <c r="L5">
        <f t="shared" si="5"/>
        <v>3</v>
      </c>
    </row>
    <row r="6" spans="1:12" x14ac:dyDescent="0.25">
      <c r="A6">
        <v>5</v>
      </c>
      <c r="B6" t="s">
        <v>3</v>
      </c>
      <c r="C6" t="s">
        <v>11</v>
      </c>
      <c r="D6" t="str">
        <f t="shared" si="0"/>
        <v>Zachłowski, Damian</v>
      </c>
      <c r="E6" s="1">
        <v>39403.872599999995</v>
      </c>
      <c r="F6" s="2">
        <v>11875</v>
      </c>
      <c r="H6" t="str">
        <f t="shared" si="1"/>
        <v>Zachłowski</v>
      </c>
      <c r="I6" t="str">
        <f t="shared" si="2"/>
        <v>Damian</v>
      </c>
      <c r="J6" t="str">
        <f t="shared" si="3"/>
        <v>c</v>
      </c>
      <c r="K6" t="str">
        <f t="shared" si="4"/>
        <v>ZAC005</v>
      </c>
      <c r="L6">
        <f t="shared" si="5"/>
        <v>11</v>
      </c>
    </row>
    <row r="7" spans="1:12" x14ac:dyDescent="0.25">
      <c r="A7">
        <v>6</v>
      </c>
      <c r="B7" t="s">
        <v>4</v>
      </c>
      <c r="C7" t="s">
        <v>7</v>
      </c>
      <c r="D7" t="str">
        <f t="shared" si="0"/>
        <v>Kowalski, Edward</v>
      </c>
      <c r="E7" s="1">
        <v>40016.017799999994</v>
      </c>
      <c r="F7" s="2">
        <v>13023</v>
      </c>
      <c r="H7" t="str">
        <f t="shared" si="1"/>
        <v>Kowalski</v>
      </c>
      <c r="I7" t="str">
        <f t="shared" si="2"/>
        <v>Edward</v>
      </c>
      <c r="J7" t="str">
        <f t="shared" si="3"/>
        <v>w</v>
      </c>
      <c r="K7" t="str">
        <f t="shared" si="4"/>
        <v>KOW006</v>
      </c>
      <c r="L7">
        <f t="shared" si="5"/>
        <v>7</v>
      </c>
    </row>
    <row r="8" spans="1:12" x14ac:dyDescent="0.25">
      <c r="A8">
        <v>7</v>
      </c>
      <c r="B8" t="s">
        <v>4</v>
      </c>
      <c r="C8" t="s">
        <v>12</v>
      </c>
      <c r="D8" t="str">
        <f t="shared" si="0"/>
        <v>Kot, Edward</v>
      </c>
      <c r="E8" s="1">
        <v>40621.979073999995</v>
      </c>
      <c r="F8" s="2">
        <v>14281</v>
      </c>
      <c r="H8" t="str">
        <f t="shared" si="1"/>
        <v>Kot</v>
      </c>
      <c r="I8" t="str">
        <f t="shared" si="2"/>
        <v>Edward</v>
      </c>
      <c r="J8" t="str">
        <f t="shared" si="3"/>
        <v>t</v>
      </c>
      <c r="K8" t="str">
        <f t="shared" si="4"/>
        <v>KOT007</v>
      </c>
      <c r="L8">
        <f t="shared" si="5"/>
        <v>3</v>
      </c>
    </row>
    <row r="9" spans="1:12" x14ac:dyDescent="0.25">
      <c r="A9">
        <v>8</v>
      </c>
      <c r="B9" t="s">
        <v>5</v>
      </c>
      <c r="C9" t="s">
        <v>13</v>
      </c>
      <c r="D9" t="str">
        <f t="shared" si="0"/>
        <v>Cabaj, Faustyna</v>
      </c>
      <c r="E9" s="1">
        <v>41221.818895999997</v>
      </c>
      <c r="F9" s="2">
        <v>15631</v>
      </c>
      <c r="H9" t="str">
        <f t="shared" si="1"/>
        <v>Cabaj</v>
      </c>
      <c r="I9" t="str">
        <f t="shared" si="2"/>
        <v>Faustyna</v>
      </c>
      <c r="J9" t="str">
        <f t="shared" si="3"/>
        <v>b</v>
      </c>
      <c r="K9" t="str">
        <f t="shared" si="4"/>
        <v>CAB008</v>
      </c>
      <c r="L9">
        <f t="shared" si="5"/>
        <v>11</v>
      </c>
    </row>
    <row r="10" spans="1:12" x14ac:dyDescent="0.25">
      <c r="A10">
        <v>9</v>
      </c>
      <c r="B10" t="s">
        <v>5</v>
      </c>
      <c r="C10" t="s">
        <v>8</v>
      </c>
      <c r="D10" t="str">
        <f t="shared" si="0"/>
        <v>Nowak, Faustyna</v>
      </c>
      <c r="E10" s="1">
        <v>41815.59910526</v>
      </c>
      <c r="F10" s="2">
        <v>17089</v>
      </c>
      <c r="H10" t="str">
        <f t="shared" si="1"/>
        <v>Nowak</v>
      </c>
      <c r="I10" t="str">
        <f t="shared" si="2"/>
        <v>Faustyna</v>
      </c>
      <c r="J10" t="str">
        <f t="shared" si="3"/>
        <v>w</v>
      </c>
      <c r="K10" t="str">
        <f t="shared" si="4"/>
        <v>NOW009</v>
      </c>
      <c r="L10">
        <f t="shared" si="5"/>
        <v>6</v>
      </c>
    </row>
    <row r="11" spans="1:12" x14ac:dyDescent="0.25">
      <c r="A11">
        <v>10</v>
      </c>
      <c r="B11" t="s">
        <v>6</v>
      </c>
      <c r="C11" t="s">
        <v>8</v>
      </c>
      <c r="D11" t="str">
        <f t="shared" si="0"/>
        <v>Nowak, Grzegorz</v>
      </c>
      <c r="E11" s="1">
        <v>42403.380914351852</v>
      </c>
      <c r="F11" s="2">
        <v>18661</v>
      </c>
      <c r="H11" t="str">
        <f t="shared" si="1"/>
        <v>Nowak</v>
      </c>
      <c r="I11" t="str">
        <f t="shared" si="2"/>
        <v>Grzegorz</v>
      </c>
      <c r="J11" t="str">
        <f t="shared" si="3"/>
        <v>w</v>
      </c>
      <c r="K11" t="str">
        <f t="shared" si="4"/>
        <v>NOW010</v>
      </c>
      <c r="L11">
        <f t="shared" si="5"/>
        <v>2</v>
      </c>
    </row>
    <row r="12" spans="1:12" x14ac:dyDescent="0.25">
      <c r="A12">
        <v>11</v>
      </c>
      <c r="B12" t="s">
        <v>23</v>
      </c>
      <c r="C12" t="s">
        <v>24</v>
      </c>
      <c r="D12" t="str">
        <f t="shared" si="0"/>
        <v>Jęczmień, Hanna</v>
      </c>
      <c r="E12" s="1">
        <v>42497.380914351852</v>
      </c>
      <c r="F12" s="2">
        <v>20000</v>
      </c>
      <c r="H12" t="str">
        <f t="shared" si="1"/>
        <v>Jęczmień</v>
      </c>
      <c r="I12" t="str">
        <f t="shared" si="2"/>
        <v>Hanna</v>
      </c>
      <c r="J12" t="str">
        <f t="shared" si="3"/>
        <v>c</v>
      </c>
      <c r="K12" t="str">
        <f t="shared" si="4"/>
        <v>JĘC011</v>
      </c>
      <c r="L12">
        <f t="shared" si="5"/>
        <v>5</v>
      </c>
    </row>
    <row r="14" spans="1:12" x14ac:dyDescent="0.25">
      <c r="A14" t="s">
        <v>17</v>
      </c>
      <c r="B14" t="s">
        <v>37</v>
      </c>
      <c r="C14" t="s">
        <v>20</v>
      </c>
      <c r="D14" t="s">
        <v>30</v>
      </c>
      <c r="E14" t="s">
        <v>31</v>
      </c>
      <c r="G14" s="3" t="s">
        <v>28</v>
      </c>
      <c r="H14" t="s">
        <v>36</v>
      </c>
      <c r="J14" t="s">
        <v>29</v>
      </c>
    </row>
    <row r="15" spans="1:12" x14ac:dyDescent="0.25">
      <c r="A15">
        <v>1</v>
      </c>
      <c r="B15">
        <v>9</v>
      </c>
      <c r="C15" s="1">
        <v>46063</v>
      </c>
      <c r="D15">
        <v>100</v>
      </c>
      <c r="E15" s="4">
        <v>50</v>
      </c>
      <c r="H15" s="5" t="s">
        <v>25</v>
      </c>
      <c r="J15" s="6">
        <v>38785.479999999996</v>
      </c>
    </row>
    <row r="16" spans="1:12" x14ac:dyDescent="0.25">
      <c r="A16">
        <v>2</v>
      </c>
      <c r="B16">
        <v>7</v>
      </c>
      <c r="C16" s="1">
        <v>46056</v>
      </c>
      <c r="D16">
        <v>20</v>
      </c>
      <c r="E16" s="4">
        <v>30</v>
      </c>
      <c r="H16">
        <f>VLOOKUP(H15,D2:F12,3,FALSE)</f>
        <v>17089</v>
      </c>
      <c r="J16" t="str">
        <f>INDEX(D2:D12,MATCH(J15,E2:E12))</f>
        <v>Kucharski, Damian</v>
      </c>
    </row>
    <row r="17" spans="1:11" x14ac:dyDescent="0.25">
      <c r="A17">
        <v>3</v>
      </c>
      <c r="B17">
        <v>4</v>
      </c>
      <c r="C17" s="1">
        <v>46044</v>
      </c>
      <c r="D17">
        <v>500</v>
      </c>
      <c r="E17" s="4">
        <v>90</v>
      </c>
    </row>
    <row r="18" spans="1:11" x14ac:dyDescent="0.25">
      <c r="A18">
        <v>4</v>
      </c>
      <c r="B18">
        <v>8</v>
      </c>
      <c r="C18" s="1">
        <v>46031</v>
      </c>
      <c r="D18">
        <v>80</v>
      </c>
      <c r="E18" s="4">
        <v>70</v>
      </c>
      <c r="H18" t="s">
        <v>32</v>
      </c>
    </row>
    <row r="19" spans="1:11" x14ac:dyDescent="0.25">
      <c r="A19">
        <v>5</v>
      </c>
      <c r="B19">
        <v>8</v>
      </c>
      <c r="C19" s="1">
        <v>46029</v>
      </c>
      <c r="D19">
        <v>70</v>
      </c>
      <c r="E19" s="4">
        <v>70</v>
      </c>
      <c r="H19" t="s">
        <v>35</v>
      </c>
      <c r="I19" t="s">
        <v>33</v>
      </c>
      <c r="J19" t="s">
        <v>34</v>
      </c>
    </row>
    <row r="20" spans="1:11" x14ac:dyDescent="0.25">
      <c r="A20">
        <v>6</v>
      </c>
      <c r="B20">
        <v>9</v>
      </c>
      <c r="C20" s="1">
        <v>46024</v>
      </c>
      <c r="D20">
        <v>590</v>
      </c>
      <c r="E20" s="4">
        <v>50</v>
      </c>
      <c r="H20" s="7">
        <v>6</v>
      </c>
      <c r="I20" s="7" t="s">
        <v>30</v>
      </c>
      <c r="J20">
        <f>INDEX(A14:E29,MATCH(H20,A14:A29),MATCH(I20,A14:E14,0))</f>
        <v>590</v>
      </c>
    </row>
    <row r="21" spans="1:11" x14ac:dyDescent="0.25">
      <c r="A21">
        <v>7</v>
      </c>
      <c r="B21">
        <v>4</v>
      </c>
      <c r="C21" s="1">
        <v>46014</v>
      </c>
      <c r="D21">
        <v>470</v>
      </c>
      <c r="E21" s="4">
        <v>90</v>
      </c>
    </row>
    <row r="22" spans="1:11" x14ac:dyDescent="0.25">
      <c r="A22">
        <v>8</v>
      </c>
      <c r="B22">
        <v>7</v>
      </c>
      <c r="C22" s="1">
        <v>46007</v>
      </c>
      <c r="D22">
        <v>220</v>
      </c>
      <c r="E22" s="4">
        <v>30</v>
      </c>
      <c r="H22" t="s">
        <v>38</v>
      </c>
    </row>
    <row r="23" spans="1:11" x14ac:dyDescent="0.25">
      <c r="A23">
        <v>9</v>
      </c>
      <c r="B23">
        <v>7</v>
      </c>
      <c r="C23" s="1">
        <v>46001</v>
      </c>
      <c r="D23">
        <v>600</v>
      </c>
      <c r="E23" s="4">
        <v>30</v>
      </c>
      <c r="H23" t="s">
        <v>35</v>
      </c>
      <c r="I23" t="s">
        <v>39</v>
      </c>
      <c r="J23" t="s">
        <v>40</v>
      </c>
      <c r="K23" t="s">
        <v>34</v>
      </c>
    </row>
    <row r="24" spans="1:11" x14ac:dyDescent="0.25">
      <c r="A24">
        <v>10</v>
      </c>
      <c r="B24">
        <v>7</v>
      </c>
      <c r="C24" s="1">
        <v>45996</v>
      </c>
      <c r="D24">
        <v>90</v>
      </c>
      <c r="E24" s="4">
        <v>30</v>
      </c>
      <c r="H24" s="5">
        <v>9</v>
      </c>
      <c r="I24" s="5" t="s">
        <v>83</v>
      </c>
      <c r="J24" s="5" t="s">
        <v>20</v>
      </c>
      <c r="K24">
        <f>IF(I24="Produkty",INDEX(Produkty,MATCH(H24,B14:B29,0),MATCH(J24,A14:E14,0)),INDEX(Klienci,MATCH(H24,A1:A12,0),MATCH(J24,A1:F1,0)))</f>
        <v>46063</v>
      </c>
    </row>
    <row r="25" spans="1:11" x14ac:dyDescent="0.25">
      <c r="A25">
        <v>11</v>
      </c>
      <c r="B25">
        <v>5</v>
      </c>
      <c r="C25" s="1">
        <v>45996</v>
      </c>
      <c r="D25">
        <v>30</v>
      </c>
      <c r="E25" s="4">
        <v>20</v>
      </c>
    </row>
    <row r="26" spans="1:11" x14ac:dyDescent="0.25">
      <c r="A26">
        <v>12</v>
      </c>
      <c r="B26">
        <v>6</v>
      </c>
      <c r="C26" s="1">
        <v>45995</v>
      </c>
      <c r="D26">
        <v>120</v>
      </c>
      <c r="E26" s="4">
        <v>80</v>
      </c>
      <c r="G26" s="3" t="s">
        <v>41</v>
      </c>
      <c r="H26" t="s">
        <v>43</v>
      </c>
    </row>
    <row r="27" spans="1:11" x14ac:dyDescent="0.25">
      <c r="A27">
        <v>13</v>
      </c>
      <c r="B27">
        <v>2</v>
      </c>
      <c r="C27" s="1">
        <v>45993</v>
      </c>
      <c r="D27">
        <v>70</v>
      </c>
      <c r="E27" s="4">
        <v>100</v>
      </c>
      <c r="H27" t="s">
        <v>44</v>
      </c>
      <c r="I27" s="6">
        <v>46054</v>
      </c>
      <c r="J27">
        <f>DSUM(Produkty,4,A36:B37)</f>
        <v>120</v>
      </c>
    </row>
    <row r="28" spans="1:11" x14ac:dyDescent="0.25">
      <c r="A28">
        <v>14</v>
      </c>
      <c r="B28">
        <v>2</v>
      </c>
      <c r="C28" s="1">
        <v>45992</v>
      </c>
      <c r="D28">
        <v>430</v>
      </c>
      <c r="E28" s="4">
        <v>100</v>
      </c>
    </row>
    <row r="29" spans="1:11" x14ac:dyDescent="0.25">
      <c r="A29">
        <v>15</v>
      </c>
      <c r="B29">
        <v>1</v>
      </c>
      <c r="C29" s="1">
        <v>45992</v>
      </c>
      <c r="D29">
        <v>230</v>
      </c>
      <c r="E29" s="4">
        <v>110</v>
      </c>
      <c r="G29" s="3" t="s">
        <v>42</v>
      </c>
      <c r="H29" t="s">
        <v>46</v>
      </c>
      <c r="I29" t="s">
        <v>45</v>
      </c>
    </row>
    <row r="30" spans="1:11" x14ac:dyDescent="0.25">
      <c r="H30">
        <v>1</v>
      </c>
      <c r="I30" s="4">
        <f t="array" ref="I30:I44">E15:E29*D15:D29</f>
        <v>5000</v>
      </c>
    </row>
    <row r="31" spans="1:11" x14ac:dyDescent="0.25">
      <c r="H31">
        <v>2</v>
      </c>
      <c r="I31" s="4">
        <v>600</v>
      </c>
    </row>
    <row r="32" spans="1:11" x14ac:dyDescent="0.25">
      <c r="A32" s="1">
        <v>45992</v>
      </c>
      <c r="H32">
        <v>3</v>
      </c>
      <c r="I32" s="4">
        <v>45000</v>
      </c>
    </row>
    <row r="33" spans="1:15" x14ac:dyDescent="0.25">
      <c r="A33" s="1">
        <v>46023</v>
      </c>
      <c r="H33">
        <v>4</v>
      </c>
      <c r="I33" s="4">
        <v>5600</v>
      </c>
    </row>
    <row r="34" spans="1:15" x14ac:dyDescent="0.25">
      <c r="A34" s="1">
        <v>46054</v>
      </c>
      <c r="H34">
        <v>5</v>
      </c>
      <c r="I34" s="4">
        <v>4900</v>
      </c>
    </row>
    <row r="35" spans="1:15" x14ac:dyDescent="0.25">
      <c r="H35">
        <v>6</v>
      </c>
      <c r="I35" s="4">
        <v>29500</v>
      </c>
    </row>
    <row r="36" spans="1:15" x14ac:dyDescent="0.25">
      <c r="A36" t="s">
        <v>20</v>
      </c>
      <c r="B36" t="s">
        <v>20</v>
      </c>
      <c r="H36">
        <v>7</v>
      </c>
      <c r="I36" s="4">
        <v>42300</v>
      </c>
    </row>
    <row r="37" spans="1:15" x14ac:dyDescent="0.25">
      <c r="A37" t="str">
        <f>"&gt;"&amp;TEXT(I27,"dd.mm.rrrr")</f>
        <v>&gt;01.02.2026</v>
      </c>
      <c r="B37" t="str">
        <f>"&lt;"&amp;TEXT(DATE(YEAR(I27),MONTH(I27)+1,DAY(I27)),"dd.mm.rrrr")</f>
        <v>&lt;01.03.2026</v>
      </c>
      <c r="H37">
        <v>8</v>
      </c>
      <c r="I37" s="4">
        <v>6600</v>
      </c>
    </row>
    <row r="38" spans="1:15" x14ac:dyDescent="0.25">
      <c r="H38">
        <v>9</v>
      </c>
      <c r="I38" s="4">
        <v>18000</v>
      </c>
    </row>
    <row r="39" spans="1:15" x14ac:dyDescent="0.25">
      <c r="H39">
        <v>10</v>
      </c>
      <c r="I39" s="4">
        <v>2700</v>
      </c>
    </row>
    <row r="40" spans="1:15" x14ac:dyDescent="0.25">
      <c r="H40">
        <v>11</v>
      </c>
      <c r="I40" s="4">
        <v>600</v>
      </c>
    </row>
    <row r="41" spans="1:15" x14ac:dyDescent="0.25">
      <c r="H41">
        <v>12</v>
      </c>
      <c r="I41" s="4">
        <v>9600</v>
      </c>
    </row>
    <row r="42" spans="1:15" x14ac:dyDescent="0.25">
      <c r="H42">
        <v>13</v>
      </c>
      <c r="I42" s="4">
        <v>7000</v>
      </c>
    </row>
    <row r="43" spans="1:15" x14ac:dyDescent="0.25">
      <c r="H43">
        <v>14</v>
      </c>
      <c r="I43" s="4">
        <v>43000</v>
      </c>
    </row>
    <row r="44" spans="1:15" x14ac:dyDescent="0.25">
      <c r="H44">
        <v>15</v>
      </c>
      <c r="I44" s="4">
        <v>25300</v>
      </c>
    </row>
    <row r="46" spans="1:15" x14ac:dyDescent="0.25">
      <c r="G46" s="3" t="s">
        <v>47</v>
      </c>
      <c r="H46" t="s">
        <v>17</v>
      </c>
      <c r="I46" t="s">
        <v>37</v>
      </c>
      <c r="J46" t="s">
        <v>20</v>
      </c>
      <c r="K46" t="s">
        <v>30</v>
      </c>
      <c r="L46" t="s">
        <v>31</v>
      </c>
      <c r="M46" t="s">
        <v>50</v>
      </c>
      <c r="N46" t="s">
        <v>52</v>
      </c>
    </row>
    <row r="47" spans="1:15" x14ac:dyDescent="0.25">
      <c r="G47" t="s">
        <v>48</v>
      </c>
      <c r="H47">
        <v>1</v>
      </c>
      <c r="I47">
        <v>9</v>
      </c>
      <c r="J47" s="1">
        <v>46063</v>
      </c>
      <c r="K47">
        <v>100</v>
      </c>
      <c r="L47" s="4">
        <v>50</v>
      </c>
      <c r="M47" s="4">
        <f>L47*K47</f>
        <v>5000</v>
      </c>
      <c r="N47" s="20">
        <f>M47/M$62</f>
        <v>2.0350020350020349E-2</v>
      </c>
      <c r="O47" s="20"/>
    </row>
    <row r="48" spans="1:15" x14ac:dyDescent="0.25">
      <c r="G48" t="s">
        <v>49</v>
      </c>
      <c r="H48">
        <v>2</v>
      </c>
      <c r="I48">
        <v>7</v>
      </c>
      <c r="J48" s="1">
        <v>46056</v>
      </c>
      <c r="K48">
        <v>20</v>
      </c>
      <c r="L48" s="4">
        <v>30</v>
      </c>
      <c r="M48" s="4">
        <f t="shared" ref="M48:M61" si="6">L48*K48</f>
        <v>600</v>
      </c>
      <c r="N48" s="20">
        <f t="shared" ref="N48:N61" si="7">M48/M$62</f>
        <v>2.442002442002442E-3</v>
      </c>
      <c r="O48" s="20"/>
    </row>
    <row r="49" spans="7:15" x14ac:dyDescent="0.25">
      <c r="G49" t="s">
        <v>51</v>
      </c>
      <c r="H49">
        <v>3</v>
      </c>
      <c r="I49">
        <v>4</v>
      </c>
      <c r="J49" s="1">
        <v>46044</v>
      </c>
      <c r="K49">
        <v>500</v>
      </c>
      <c r="L49" s="4">
        <v>90</v>
      </c>
      <c r="M49" s="4">
        <f t="shared" si="6"/>
        <v>45000</v>
      </c>
      <c r="N49" s="20">
        <f t="shared" si="7"/>
        <v>0.18315018315018314</v>
      </c>
      <c r="O49" s="20"/>
    </row>
    <row r="50" spans="7:15" x14ac:dyDescent="0.25">
      <c r="G50" t="s">
        <v>53</v>
      </c>
      <c r="H50">
        <v>4</v>
      </c>
      <c r="I50">
        <v>8</v>
      </c>
      <c r="J50" s="1">
        <v>46031</v>
      </c>
      <c r="K50">
        <v>80</v>
      </c>
      <c r="L50" s="4">
        <v>70</v>
      </c>
      <c r="M50" s="4">
        <f t="shared" si="6"/>
        <v>5600</v>
      </c>
      <c r="N50" s="20">
        <f t="shared" si="7"/>
        <v>2.2792022792022793E-2</v>
      </c>
      <c r="O50" s="20"/>
    </row>
    <row r="51" spans="7:15" x14ac:dyDescent="0.25">
      <c r="G51" s="18" t="s">
        <v>54</v>
      </c>
      <c r="H51">
        <v>5</v>
      </c>
      <c r="I51">
        <v>8</v>
      </c>
      <c r="J51" s="1">
        <v>46029</v>
      </c>
      <c r="K51">
        <v>70</v>
      </c>
      <c r="L51" s="4">
        <v>70</v>
      </c>
      <c r="M51" s="4">
        <f t="shared" si="6"/>
        <v>4900</v>
      </c>
      <c r="N51" s="20">
        <f t="shared" si="7"/>
        <v>1.9943019943019943E-2</v>
      </c>
      <c r="O51" s="20"/>
    </row>
    <row r="52" spans="7:15" x14ac:dyDescent="0.25">
      <c r="G52" s="18"/>
      <c r="H52">
        <v>6</v>
      </c>
      <c r="I52">
        <v>9</v>
      </c>
      <c r="J52" s="1">
        <v>46024</v>
      </c>
      <c r="K52">
        <v>590</v>
      </c>
      <c r="L52" s="4">
        <v>50</v>
      </c>
      <c r="M52" s="4">
        <f t="shared" si="6"/>
        <v>29500</v>
      </c>
      <c r="N52" s="20">
        <f>M52/M$62</f>
        <v>0.12006512006512006</v>
      </c>
      <c r="O52" s="20"/>
    </row>
    <row r="53" spans="7:15" x14ac:dyDescent="0.25">
      <c r="H53">
        <v>7</v>
      </c>
      <c r="I53">
        <v>4</v>
      </c>
      <c r="J53" s="1">
        <v>46014</v>
      </c>
      <c r="K53">
        <v>470</v>
      </c>
      <c r="L53" s="4">
        <v>90</v>
      </c>
      <c r="M53" s="4">
        <f t="shared" si="6"/>
        <v>42300</v>
      </c>
      <c r="N53" s="20">
        <f t="shared" si="7"/>
        <v>0.17216117216117216</v>
      </c>
      <c r="O53" s="20"/>
    </row>
    <row r="54" spans="7:15" x14ac:dyDescent="0.25">
      <c r="H54">
        <v>8</v>
      </c>
      <c r="I54">
        <v>7</v>
      </c>
      <c r="J54" s="1">
        <v>46007</v>
      </c>
      <c r="K54">
        <v>220</v>
      </c>
      <c r="L54" s="4">
        <v>30</v>
      </c>
      <c r="M54" s="4">
        <f t="shared" si="6"/>
        <v>6600</v>
      </c>
      <c r="N54" s="20">
        <f t="shared" si="7"/>
        <v>2.6862026862026864E-2</v>
      </c>
      <c r="O54" s="20"/>
    </row>
    <row r="55" spans="7:15" x14ac:dyDescent="0.25">
      <c r="H55">
        <v>9</v>
      </c>
      <c r="I55">
        <v>7</v>
      </c>
      <c r="J55" s="1">
        <v>46001</v>
      </c>
      <c r="K55">
        <v>600</v>
      </c>
      <c r="L55" s="4">
        <v>30</v>
      </c>
      <c r="M55" s="4">
        <f t="shared" si="6"/>
        <v>18000</v>
      </c>
      <c r="N55" s="20">
        <f t="shared" si="7"/>
        <v>7.3260073260073263E-2</v>
      </c>
      <c r="O55" s="20"/>
    </row>
    <row r="56" spans="7:15" x14ac:dyDescent="0.25">
      <c r="H56">
        <v>10</v>
      </c>
      <c r="I56">
        <v>7</v>
      </c>
      <c r="J56" s="1">
        <v>45996</v>
      </c>
      <c r="K56">
        <v>90</v>
      </c>
      <c r="L56" s="4">
        <v>30</v>
      </c>
      <c r="M56" s="4">
        <f t="shared" si="6"/>
        <v>2700</v>
      </c>
      <c r="N56" s="20">
        <f t="shared" si="7"/>
        <v>1.098901098901099E-2</v>
      </c>
      <c r="O56" s="20"/>
    </row>
    <row r="57" spans="7:15" x14ac:dyDescent="0.25">
      <c r="H57">
        <v>11</v>
      </c>
      <c r="I57">
        <v>5</v>
      </c>
      <c r="J57" s="1">
        <v>45996</v>
      </c>
      <c r="K57">
        <v>30</v>
      </c>
      <c r="L57" s="4">
        <v>20</v>
      </c>
      <c r="M57" s="4">
        <f t="shared" si="6"/>
        <v>600</v>
      </c>
      <c r="N57" s="20">
        <f t="shared" si="7"/>
        <v>2.442002442002442E-3</v>
      </c>
      <c r="O57" s="20"/>
    </row>
    <row r="58" spans="7:15" x14ac:dyDescent="0.25">
      <c r="H58">
        <v>12</v>
      </c>
      <c r="I58">
        <v>6</v>
      </c>
      <c r="J58" s="1">
        <v>45995</v>
      </c>
      <c r="K58">
        <v>120</v>
      </c>
      <c r="L58" s="4">
        <v>80</v>
      </c>
      <c r="M58" s="4">
        <f t="shared" si="6"/>
        <v>9600</v>
      </c>
      <c r="N58" s="20">
        <f t="shared" si="7"/>
        <v>3.9072039072039072E-2</v>
      </c>
      <c r="O58" s="20"/>
    </row>
    <row r="59" spans="7:15" x14ac:dyDescent="0.25">
      <c r="H59">
        <v>13</v>
      </c>
      <c r="I59">
        <v>2</v>
      </c>
      <c r="J59" s="1">
        <v>45993</v>
      </c>
      <c r="K59">
        <v>70</v>
      </c>
      <c r="L59" s="4">
        <v>100</v>
      </c>
      <c r="M59" s="4">
        <f t="shared" si="6"/>
        <v>7000</v>
      </c>
      <c r="N59" s="20">
        <f t="shared" si="7"/>
        <v>2.8490028490028491E-2</v>
      </c>
      <c r="O59" s="20"/>
    </row>
    <row r="60" spans="7:15" x14ac:dyDescent="0.25">
      <c r="H60">
        <v>14</v>
      </c>
      <c r="I60">
        <v>2</v>
      </c>
      <c r="J60" s="1">
        <v>45992</v>
      </c>
      <c r="K60">
        <v>430</v>
      </c>
      <c r="L60" s="4">
        <v>100</v>
      </c>
      <c r="M60" s="4">
        <f t="shared" si="6"/>
        <v>43000</v>
      </c>
      <c r="N60" s="20">
        <f t="shared" si="7"/>
        <v>0.17501017501017502</v>
      </c>
      <c r="O60" s="20"/>
    </row>
    <row r="61" spans="7:15" x14ac:dyDescent="0.25">
      <c r="H61">
        <v>15</v>
      </c>
      <c r="I61">
        <v>1</v>
      </c>
      <c r="J61" s="1">
        <v>45992</v>
      </c>
      <c r="K61">
        <v>230</v>
      </c>
      <c r="L61" s="4">
        <v>110</v>
      </c>
      <c r="M61" s="4">
        <f t="shared" si="6"/>
        <v>25300</v>
      </c>
      <c r="N61" s="20">
        <f t="shared" si="7"/>
        <v>0.10297110297110297</v>
      </c>
      <c r="O61" s="20"/>
    </row>
    <row r="62" spans="7:15" x14ac:dyDescent="0.25">
      <c r="M62" s="4">
        <f>SUM(M47:M61)</f>
        <v>245700</v>
      </c>
    </row>
    <row r="65" spans="7:20" x14ac:dyDescent="0.25">
      <c r="G65" s="3" t="s">
        <v>55</v>
      </c>
      <c r="I65" t="s">
        <v>56</v>
      </c>
      <c r="K65" t="s">
        <v>59</v>
      </c>
    </row>
    <row r="66" spans="7:20" x14ac:dyDescent="0.25">
      <c r="I66" s="8">
        <v>12001.503000000001</v>
      </c>
      <c r="K66" s="11">
        <v>-31.7</v>
      </c>
    </row>
    <row r="67" spans="7:20" x14ac:dyDescent="0.25">
      <c r="I67" s="8" t="s">
        <v>57</v>
      </c>
      <c r="K67" s="13" t="s">
        <v>60</v>
      </c>
      <c r="L67" s="13"/>
    </row>
    <row r="68" spans="7:20" x14ac:dyDescent="0.25">
      <c r="I68" s="9">
        <v>435</v>
      </c>
      <c r="K68" s="21">
        <v>40000</v>
      </c>
      <c r="L68" s="21"/>
    </row>
    <row r="69" spans="7:20" x14ac:dyDescent="0.25">
      <c r="I69" t="s">
        <v>58</v>
      </c>
      <c r="K69" t="s">
        <v>61</v>
      </c>
    </row>
    <row r="70" spans="7:20" x14ac:dyDescent="0.25">
      <c r="I70" s="10">
        <v>5236.7529999999997</v>
      </c>
      <c r="K70" s="16">
        <v>0.22916666666666666</v>
      </c>
    </row>
    <row r="76" spans="7:20" x14ac:dyDescent="0.25">
      <c r="G76" s="3" t="s">
        <v>74</v>
      </c>
      <c r="I76" s="19" t="s">
        <v>73</v>
      </c>
      <c r="J76" s="19"/>
      <c r="K76" s="19"/>
      <c r="L76" s="19"/>
    </row>
    <row r="77" spans="7:20" x14ac:dyDescent="0.25">
      <c r="G77" t="s">
        <v>88</v>
      </c>
      <c r="I77" t="s">
        <v>62</v>
      </c>
      <c r="J77" t="s">
        <v>15</v>
      </c>
      <c r="K77" t="s">
        <v>16</v>
      </c>
      <c r="L77" t="s">
        <v>14</v>
      </c>
      <c r="M77" t="s">
        <v>63</v>
      </c>
      <c r="N77" t="s">
        <v>19</v>
      </c>
      <c r="O77" t="s">
        <v>72</v>
      </c>
      <c r="P77" t="s">
        <v>64</v>
      </c>
      <c r="Q77" t="s">
        <v>20</v>
      </c>
      <c r="R77" t="s">
        <v>30</v>
      </c>
      <c r="S77" t="s">
        <v>31</v>
      </c>
      <c r="T77" t="s">
        <v>85</v>
      </c>
    </row>
    <row r="78" spans="7:20" x14ac:dyDescent="0.25">
      <c r="I78">
        <v>1</v>
      </c>
      <c r="J78" t="s">
        <v>0</v>
      </c>
      <c r="K78" t="s">
        <v>7</v>
      </c>
      <c r="L78" t="s">
        <v>65</v>
      </c>
      <c r="M78" s="14">
        <v>36526</v>
      </c>
      <c r="N78">
        <v>1000</v>
      </c>
      <c r="O78">
        <v>15</v>
      </c>
      <c r="P78">
        <v>1</v>
      </c>
      <c r="Q78" s="14">
        <v>45992</v>
      </c>
      <c r="R78">
        <v>230</v>
      </c>
      <c r="S78">
        <v>110</v>
      </c>
      <c r="T78">
        <f t="shared" ref="T78:T92" si="8">S78*R78</f>
        <v>25300</v>
      </c>
    </row>
    <row r="79" spans="7:20" x14ac:dyDescent="0.25">
      <c r="I79" s="12">
        <v>2</v>
      </c>
      <c r="J79" t="s">
        <v>1</v>
      </c>
      <c r="K79" t="s">
        <v>8</v>
      </c>
      <c r="L79" t="s">
        <v>66</v>
      </c>
      <c r="M79" s="14">
        <v>37526</v>
      </c>
      <c r="N79">
        <v>8300</v>
      </c>
      <c r="O79">
        <v>14</v>
      </c>
      <c r="P79">
        <v>2</v>
      </c>
      <c r="Q79" s="14">
        <v>45992</v>
      </c>
      <c r="R79">
        <v>430</v>
      </c>
      <c r="S79">
        <v>100</v>
      </c>
      <c r="T79">
        <f t="shared" si="8"/>
        <v>43000</v>
      </c>
    </row>
    <row r="80" spans="7:20" x14ac:dyDescent="0.25">
      <c r="I80">
        <v>2</v>
      </c>
      <c r="J80" t="s">
        <v>1</v>
      </c>
      <c r="K80" t="s">
        <v>8</v>
      </c>
      <c r="L80" t="s">
        <v>66</v>
      </c>
      <c r="M80" s="14">
        <v>37526</v>
      </c>
      <c r="N80">
        <v>8300</v>
      </c>
      <c r="O80">
        <v>13</v>
      </c>
      <c r="P80">
        <v>2</v>
      </c>
      <c r="Q80" s="14">
        <v>45993</v>
      </c>
      <c r="R80">
        <v>70</v>
      </c>
      <c r="S80">
        <v>100</v>
      </c>
      <c r="T80">
        <f t="shared" si="8"/>
        <v>7000</v>
      </c>
    </row>
    <row r="81" spans="7:20" x14ac:dyDescent="0.25">
      <c r="I81">
        <v>4</v>
      </c>
      <c r="J81" t="s">
        <v>3</v>
      </c>
      <c r="K81" t="s">
        <v>10</v>
      </c>
      <c r="L81" t="s">
        <v>67</v>
      </c>
      <c r="M81" s="14">
        <v>38785.480000000003</v>
      </c>
      <c r="N81">
        <v>10742</v>
      </c>
      <c r="O81">
        <v>7</v>
      </c>
      <c r="P81">
        <v>4</v>
      </c>
      <c r="Q81" s="14">
        <v>46014</v>
      </c>
      <c r="R81">
        <v>470</v>
      </c>
      <c r="S81">
        <v>90</v>
      </c>
      <c r="T81">
        <f t="shared" si="8"/>
        <v>42300</v>
      </c>
    </row>
    <row r="82" spans="7:20" x14ac:dyDescent="0.25">
      <c r="I82">
        <v>4</v>
      </c>
      <c r="J82" t="s">
        <v>3</v>
      </c>
      <c r="K82" t="s">
        <v>10</v>
      </c>
      <c r="L82" t="s">
        <v>67</v>
      </c>
      <c r="M82" s="14">
        <v>38785.480000000003</v>
      </c>
      <c r="N82">
        <v>10742</v>
      </c>
      <c r="O82">
        <v>3</v>
      </c>
      <c r="P82">
        <v>4</v>
      </c>
      <c r="Q82" s="14">
        <v>46044</v>
      </c>
      <c r="R82">
        <v>500</v>
      </c>
      <c r="S82">
        <v>90</v>
      </c>
      <c r="T82">
        <f t="shared" si="8"/>
        <v>45000</v>
      </c>
    </row>
    <row r="83" spans="7:20" x14ac:dyDescent="0.25">
      <c r="I83">
        <v>5</v>
      </c>
      <c r="J83" t="s">
        <v>3</v>
      </c>
      <c r="K83" t="s">
        <v>11</v>
      </c>
      <c r="L83" t="s">
        <v>68</v>
      </c>
      <c r="M83" s="14">
        <v>39403.87259259259</v>
      </c>
      <c r="N83">
        <v>11875</v>
      </c>
      <c r="O83">
        <v>11</v>
      </c>
      <c r="P83">
        <v>5</v>
      </c>
      <c r="Q83" s="14">
        <v>45996</v>
      </c>
      <c r="R83">
        <v>30</v>
      </c>
      <c r="S83">
        <v>20</v>
      </c>
      <c r="T83">
        <f t="shared" si="8"/>
        <v>600</v>
      </c>
    </row>
    <row r="84" spans="7:20" x14ac:dyDescent="0.25">
      <c r="I84">
        <v>6</v>
      </c>
      <c r="J84" t="s">
        <v>4</v>
      </c>
      <c r="K84" t="s">
        <v>7</v>
      </c>
      <c r="L84" t="s">
        <v>69</v>
      </c>
      <c r="M84" s="14">
        <v>40016.017789351848</v>
      </c>
      <c r="N84">
        <v>13023</v>
      </c>
      <c r="O84">
        <v>12</v>
      </c>
      <c r="P84">
        <v>6</v>
      </c>
      <c r="Q84" s="14">
        <v>45995</v>
      </c>
      <c r="R84">
        <v>120</v>
      </c>
      <c r="S84">
        <v>80</v>
      </c>
      <c r="T84">
        <f t="shared" si="8"/>
        <v>9600</v>
      </c>
    </row>
    <row r="85" spans="7:20" x14ac:dyDescent="0.25">
      <c r="I85">
        <v>7</v>
      </c>
      <c r="J85" t="s">
        <v>4</v>
      </c>
      <c r="K85" t="s">
        <v>12</v>
      </c>
      <c r="L85" t="s">
        <v>70</v>
      </c>
      <c r="M85" s="14">
        <v>40621.979062500002</v>
      </c>
      <c r="N85">
        <v>14281</v>
      </c>
      <c r="O85">
        <v>10</v>
      </c>
      <c r="P85">
        <v>7</v>
      </c>
      <c r="Q85" s="14">
        <v>45996</v>
      </c>
      <c r="R85">
        <v>90</v>
      </c>
      <c r="S85">
        <v>30</v>
      </c>
      <c r="T85">
        <f t="shared" si="8"/>
        <v>2700</v>
      </c>
    </row>
    <row r="86" spans="7:20" x14ac:dyDescent="0.25">
      <c r="I86">
        <v>7</v>
      </c>
      <c r="J86" t="s">
        <v>4</v>
      </c>
      <c r="K86" t="s">
        <v>12</v>
      </c>
      <c r="L86" t="s">
        <v>70</v>
      </c>
      <c r="M86" s="14">
        <v>40621.979062500002</v>
      </c>
      <c r="N86">
        <v>14281</v>
      </c>
      <c r="O86">
        <v>9</v>
      </c>
      <c r="P86">
        <v>7</v>
      </c>
      <c r="Q86" s="14">
        <v>46001</v>
      </c>
      <c r="R86">
        <v>600</v>
      </c>
      <c r="S86">
        <v>30</v>
      </c>
      <c r="T86">
        <f t="shared" si="8"/>
        <v>18000</v>
      </c>
    </row>
    <row r="87" spans="7:20" x14ac:dyDescent="0.25">
      <c r="I87">
        <v>7</v>
      </c>
      <c r="J87" t="s">
        <v>4</v>
      </c>
      <c r="K87" t="s">
        <v>12</v>
      </c>
      <c r="L87" t="s">
        <v>70</v>
      </c>
      <c r="M87" s="14">
        <v>40621.979062500002</v>
      </c>
      <c r="N87">
        <v>14281</v>
      </c>
      <c r="O87">
        <v>8</v>
      </c>
      <c r="P87">
        <v>7</v>
      </c>
      <c r="Q87" s="14">
        <v>46007</v>
      </c>
      <c r="R87">
        <v>220</v>
      </c>
      <c r="S87">
        <v>30</v>
      </c>
      <c r="T87">
        <f t="shared" si="8"/>
        <v>6600</v>
      </c>
    </row>
    <row r="88" spans="7:20" x14ac:dyDescent="0.25">
      <c r="I88">
        <v>7</v>
      </c>
      <c r="J88" t="s">
        <v>4</v>
      </c>
      <c r="K88" t="s">
        <v>12</v>
      </c>
      <c r="L88" t="s">
        <v>70</v>
      </c>
      <c r="M88" s="14">
        <v>40621.979062500002</v>
      </c>
      <c r="N88">
        <v>14281</v>
      </c>
      <c r="O88">
        <v>2</v>
      </c>
      <c r="P88">
        <v>7</v>
      </c>
      <c r="Q88" s="14">
        <v>46056</v>
      </c>
      <c r="R88">
        <v>20</v>
      </c>
      <c r="S88">
        <v>30</v>
      </c>
      <c r="T88">
        <f t="shared" si="8"/>
        <v>600</v>
      </c>
    </row>
    <row r="89" spans="7:20" x14ac:dyDescent="0.25">
      <c r="I89">
        <v>8</v>
      </c>
      <c r="J89" t="s">
        <v>5</v>
      </c>
      <c r="K89" t="s">
        <v>13</v>
      </c>
      <c r="L89" t="s">
        <v>71</v>
      </c>
      <c r="M89" s="14">
        <v>41221.818888888891</v>
      </c>
      <c r="N89">
        <v>15631</v>
      </c>
      <c r="O89">
        <v>5</v>
      </c>
      <c r="P89">
        <v>8</v>
      </c>
      <c r="Q89" s="14">
        <v>46029</v>
      </c>
      <c r="R89">
        <v>70</v>
      </c>
      <c r="S89">
        <v>70</v>
      </c>
      <c r="T89">
        <f t="shared" si="8"/>
        <v>4900</v>
      </c>
    </row>
    <row r="90" spans="7:20" x14ac:dyDescent="0.25">
      <c r="I90">
        <v>8</v>
      </c>
      <c r="J90" t="s">
        <v>5</v>
      </c>
      <c r="K90" t="s">
        <v>13</v>
      </c>
      <c r="L90" t="s">
        <v>71</v>
      </c>
      <c r="M90" s="14">
        <v>41221.818888888891</v>
      </c>
      <c r="N90">
        <v>15631</v>
      </c>
      <c r="O90">
        <v>4</v>
      </c>
      <c r="P90">
        <v>8</v>
      </c>
      <c r="Q90" s="14">
        <v>46031</v>
      </c>
      <c r="R90">
        <v>80</v>
      </c>
      <c r="S90">
        <v>70</v>
      </c>
      <c r="T90">
        <f t="shared" si="8"/>
        <v>5600</v>
      </c>
    </row>
    <row r="91" spans="7:20" x14ac:dyDescent="0.25">
      <c r="I91">
        <v>9</v>
      </c>
      <c r="J91" t="s">
        <v>5</v>
      </c>
      <c r="K91" t="s">
        <v>8</v>
      </c>
      <c r="L91" t="s">
        <v>25</v>
      </c>
      <c r="M91" s="14">
        <v>41815.599097222221</v>
      </c>
      <c r="N91">
        <v>17089</v>
      </c>
      <c r="O91">
        <v>6</v>
      </c>
      <c r="P91">
        <v>9</v>
      </c>
      <c r="Q91" s="14">
        <v>46024</v>
      </c>
      <c r="R91">
        <v>590</v>
      </c>
      <c r="S91">
        <v>50</v>
      </c>
      <c r="T91">
        <f t="shared" si="8"/>
        <v>29500</v>
      </c>
    </row>
    <row r="92" spans="7:20" x14ac:dyDescent="0.25">
      <c r="I92">
        <v>9</v>
      </c>
      <c r="J92" t="s">
        <v>5</v>
      </c>
      <c r="K92" t="s">
        <v>8</v>
      </c>
      <c r="L92" t="s">
        <v>25</v>
      </c>
      <c r="M92" s="14">
        <v>41815.599097222221</v>
      </c>
      <c r="N92">
        <v>17089</v>
      </c>
      <c r="O92">
        <v>1</v>
      </c>
      <c r="P92">
        <v>9</v>
      </c>
      <c r="Q92" s="14">
        <v>46063</v>
      </c>
      <c r="R92">
        <v>100</v>
      </c>
      <c r="S92">
        <v>50</v>
      </c>
      <c r="T92">
        <f t="shared" si="8"/>
        <v>5000</v>
      </c>
    </row>
    <row r="94" spans="7:20" x14ac:dyDescent="0.25">
      <c r="G94" s="3"/>
      <c r="J94" s="15" t="s">
        <v>75</v>
      </c>
    </row>
    <row r="95" spans="7:20" x14ac:dyDescent="0.25">
      <c r="J95" t="s">
        <v>77</v>
      </c>
      <c r="K95" t="s">
        <v>78</v>
      </c>
      <c r="L95" t="s">
        <v>79</v>
      </c>
      <c r="M95" t="s">
        <v>76</v>
      </c>
    </row>
    <row r="96" spans="7:20" x14ac:dyDescent="0.25">
      <c r="I96" t="s">
        <v>81</v>
      </c>
      <c r="J96">
        <v>59093</v>
      </c>
      <c r="K96">
        <v>31370</v>
      </c>
      <c r="L96">
        <v>96083</v>
      </c>
      <c r="M96">
        <v>186546</v>
      </c>
    </row>
    <row r="109" spans="7:12" x14ac:dyDescent="0.25">
      <c r="G109" s="3" t="s">
        <v>84</v>
      </c>
      <c r="I109" s="15" t="s">
        <v>80</v>
      </c>
      <c r="J109" t="s">
        <v>87</v>
      </c>
      <c r="K109" t="s">
        <v>86</v>
      </c>
      <c r="L109" t="s">
        <v>82</v>
      </c>
    </row>
    <row r="110" spans="7:12" x14ac:dyDescent="0.25">
      <c r="I110" s="13" t="s">
        <v>77</v>
      </c>
      <c r="J110" s="4">
        <v>85000</v>
      </c>
      <c r="K110">
        <v>280</v>
      </c>
      <c r="L110">
        <v>1240</v>
      </c>
    </row>
    <row r="111" spans="7:12" x14ac:dyDescent="0.25">
      <c r="I111" s="13" t="s">
        <v>78</v>
      </c>
      <c r="J111" s="4">
        <v>5600</v>
      </c>
      <c r="K111">
        <v>80</v>
      </c>
      <c r="L111">
        <v>120</v>
      </c>
    </row>
    <row r="112" spans="7:12" x14ac:dyDescent="0.25">
      <c r="I112" s="13" t="s">
        <v>79</v>
      </c>
      <c r="J112" s="4">
        <v>155100</v>
      </c>
      <c r="K112">
        <v>590</v>
      </c>
      <c r="L112">
        <v>2260</v>
      </c>
    </row>
    <row r="113" spans="9:12" x14ac:dyDescent="0.25">
      <c r="I113" s="13" t="s">
        <v>76</v>
      </c>
      <c r="J113" s="4">
        <v>245700</v>
      </c>
      <c r="K113">
        <v>950</v>
      </c>
      <c r="L113">
        <v>3620</v>
      </c>
    </row>
  </sheetData>
  <mergeCells count="18">
    <mergeCell ref="N47:O47"/>
    <mergeCell ref="N48:O48"/>
    <mergeCell ref="N49:O49"/>
    <mergeCell ref="N50:O50"/>
    <mergeCell ref="N51:O51"/>
    <mergeCell ref="G51:G52"/>
    <mergeCell ref="I76:L76"/>
    <mergeCell ref="N58:O58"/>
    <mergeCell ref="N59:O59"/>
    <mergeCell ref="N60:O60"/>
    <mergeCell ref="N61:O61"/>
    <mergeCell ref="N52:O52"/>
    <mergeCell ref="N53:O53"/>
    <mergeCell ref="N54:O54"/>
    <mergeCell ref="N55:O55"/>
    <mergeCell ref="N56:O56"/>
    <mergeCell ref="N57:O57"/>
    <mergeCell ref="K68:L68"/>
  </mergeCells>
  <phoneticPr fontId="3" type="noConversion"/>
  <conditionalFormatting sqref="I66 I47:I61">
    <cfRule type="duplicateValues" dxfId="11" priority="6"/>
    <cfRule type="duplicateValues" dxfId="10" priority="9"/>
  </conditionalFormatting>
  <conditionalFormatting sqref="J20">
    <cfRule type="expression" dxfId="9" priority="13">
      <formula>$I$20="Cena za sztukę"</formula>
    </cfRule>
    <cfRule type="expression" dxfId="8" priority="14">
      <formula>$I$20="Data kupna"</formula>
    </cfRule>
    <cfRule type="cellIs" dxfId="7" priority="15" operator="equal">
      <formula>30000</formula>
    </cfRule>
  </conditionalFormatting>
  <conditionalFormatting sqref="J47:J61">
    <cfRule type="duplicateValues" dxfId="6" priority="5"/>
    <cfRule type="duplicateValues" dxfId="5" priority="8"/>
  </conditionalFormatting>
  <conditionalFormatting sqref="K24">
    <cfRule type="expression" dxfId="4" priority="10">
      <formula>$J$24="Data 1.Tranzakcji"</formula>
    </cfRule>
    <cfRule type="expression" dxfId="3" priority="11">
      <formula>$J$24="Data kupna"</formula>
    </cfRule>
  </conditionalFormatting>
  <conditionalFormatting sqref="K47:K61">
    <cfRule type="aboveAverage" dxfId="2" priority="7"/>
  </conditionalFormatting>
  <conditionalFormatting sqref="L47:L61">
    <cfRule type="top10" dxfId="1" priority="1" bottom="1" rank="3"/>
    <cfRule type="top10" dxfId="0" priority="2" rank="3"/>
  </conditionalFormatting>
  <conditionalFormatting sqref="N47:O6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{14A10C11-5022-4350-966D-BA29B501D709}</x14:id>
        </ext>
      </extLst>
    </cfRule>
  </conditionalFormatting>
  <dataValidations count="8">
    <dataValidation type="list" allowBlank="1" showErrorMessage="1" sqref="H15" xr:uid="{D01DDD03-83B6-4BFC-8FAA-34848AAB8066}">
      <formula1>$D$2:$D$12</formula1>
    </dataValidation>
    <dataValidation type="list" allowBlank="1" showInputMessage="1" showErrorMessage="1" sqref="J15" xr:uid="{D33C7652-9A25-4EFB-BF89-EC059D03A0A9}">
      <formula1>$E$2:$E$12</formula1>
    </dataValidation>
    <dataValidation type="list" allowBlank="1" showInputMessage="1" showErrorMessage="1" sqref="H20" xr:uid="{9D562FC1-8BC5-401E-8015-02057478B5EC}">
      <formula1>$A$15:$A$29</formula1>
    </dataValidation>
    <dataValidation type="list" allowBlank="1" showInputMessage="1" showErrorMessage="1" sqref="I20" xr:uid="{0711762C-1417-4136-BD00-0A1C4F7C4B7C}">
      <formula1>$A$14:$E$14</formula1>
    </dataValidation>
    <dataValidation type="list" allowBlank="1" showInputMessage="1" showErrorMessage="1" sqref="H24" xr:uid="{32D8821D-51CF-40BA-9A0C-833712B61956}">
      <formula1>$A$2:$A$12</formula1>
    </dataValidation>
    <dataValidation type="list" allowBlank="1" showInputMessage="1" showErrorMessage="1" sqref="I24" xr:uid="{F747C1FA-9BBD-4AD0-A8D7-36E5613A4B84}">
      <formula1>"Klienci, Produkty"</formula1>
    </dataValidation>
    <dataValidation type="list" allowBlank="1" showInputMessage="1" showErrorMessage="1" sqref="J24" xr:uid="{2C112F14-64D3-4E1F-8E90-FF859AE4B278}">
      <formula1>IF($I$24="Klienci",$A$1:$F$1,$A$14:$E$14)</formula1>
    </dataValidation>
    <dataValidation type="list" allowBlank="1" showInputMessage="1" showErrorMessage="1" sqref="A38 I27" xr:uid="{BD42630C-4FFB-432F-A84B-B1B5D7574A6A}">
      <formula1>$A$32:$A$34</formula1>
    </dataValidation>
  </dataValidations>
  <pageMargins left="0.7" right="0.7" top="0.75" bottom="0.75" header="0.3" footer="0.3"/>
  <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1F10EAB-987C-4D1D-BDB6-74E8694DDC6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M47:M61</xm:sqref>
        </x14:conditionalFormatting>
        <x14:conditionalFormatting xmlns:xm="http://schemas.microsoft.com/office/excel/2006/main">
          <x14:cfRule type="dataBar" id="{14A10C11-5022-4350-966D-BA29B501D7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N47:O61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81B4-76AD-469D-AB73-95C69FA60A96}">
  <dimension ref="C6:C11"/>
  <sheetViews>
    <sheetView workbookViewId="0">
      <selection activeCell="C11" sqref="C11"/>
    </sheetView>
  </sheetViews>
  <sheetFormatPr defaultRowHeight="15" x14ac:dyDescent="0.25"/>
  <cols>
    <col min="3" max="3" width="10.7109375" customWidth="1"/>
  </cols>
  <sheetData>
    <row r="6" spans="3:3" x14ac:dyDescent="0.25">
      <c r="C6" t="s">
        <v>89</v>
      </c>
    </row>
    <row r="8" spans="3:3" x14ac:dyDescent="0.25">
      <c r="C8" t="s">
        <v>90</v>
      </c>
    </row>
    <row r="10" spans="3:3" x14ac:dyDescent="0.25">
      <c r="C10" t="s">
        <v>91</v>
      </c>
    </row>
    <row r="11" spans="3:3" x14ac:dyDescent="0.25">
      <c r="C11" s="17">
        <v>2</v>
      </c>
    </row>
  </sheetData>
  <sheetProtection algorithmName="SHA-512" hashValue="xcCjfPjWXEJXZCqttGDTh06wpoX0BHM+K16nxllKy4j1PIr2FAQO5JGm8FQ+JbXKluCKyWYRj2veBbHVYUqscg==" saltValue="FdIOX6YKyQJUapdX9go/+w==" spinCount="100000" sheet="1" objects="1" scenarios="1"/>
  <dataValidations count="1">
    <dataValidation type="list" allowBlank="1" showInputMessage="1" showErrorMessage="1" sqref="C11" xr:uid="{718F7345-145D-4F05-8280-F87FF6BE00F6}">
      <formula1>"1,2,3"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EDEFB-C7B4-4198-9CFB-341271640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Arkusz1</vt:lpstr>
      <vt:lpstr>Arkusz chroniony</vt:lpstr>
      <vt:lpstr>Klienci</vt:lpstr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krzysszczepanik@outlook.com</dc:creator>
  <cp:lastModifiedBy>krzysszczepanik@outlook.com</cp:lastModifiedBy>
  <dcterms:created xsi:type="dcterms:W3CDTF">2026-02-10T11:02:41Z</dcterms:created>
  <dcterms:modified xsi:type="dcterms:W3CDTF">2026-09-11T10:41:12Z</dcterms:modified>
</cp:coreProperties>
</file>